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82a7fd9ad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12ecda9fbf34f04"/>
    <x:sheet xmlns:r="http://schemas.openxmlformats.org/officeDocument/2006/relationships" name="Cost Structure" sheetId="2" r:id="R28d58a535c58458a"/>
    <x:sheet xmlns:r="http://schemas.openxmlformats.org/officeDocument/2006/relationships" name="Marginal Cost" sheetId="3" r:id="R8e8fa3cd65584984"/>
    <x:sheet xmlns:r="http://schemas.openxmlformats.org/officeDocument/2006/relationships" name="Optimization" sheetId="4" r:id="R4b4e90c0416d41d6"/>
    <x:sheet xmlns:r="http://schemas.openxmlformats.org/officeDocument/2006/relationships" name="Audit" sheetId="5" r:id="Re094601f5f80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b/>
      <x:sz val="11"/>
      <x:color rgb="FF111827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B2"/>
      </x:patternFill>
    </x:fill>
    <x:fill>
      <x:patternFill patternType="solid">
        <x:fgColor rgb="FFDCFCE7"/>
      </x:patternFill>
    </x:fill>
    <x:fill>
      <x:patternFill patternType="solid">
        <x:fgColor rgb="FFDCEAF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6086642894bc3" /><Relationship Type="http://schemas.openxmlformats.org/officeDocument/2006/relationships/theme" Target="/xl/theme/theme1.xml" Id="Rfd53b8ac97bc4571" /><Relationship Type="http://schemas.openxmlformats.org/officeDocument/2006/relationships/sharedStrings" Target="/xl/sharedStrings.xml" Id="Rbb2070fc35494a4d" /><Relationship Type="http://schemas.openxmlformats.org/officeDocument/2006/relationships/worksheet" Target="/xl/worksheets/sheet1.xml" Id="Rd12ecda9fbf34f04" /><Relationship Type="http://schemas.openxmlformats.org/officeDocument/2006/relationships/worksheet" Target="/xl/worksheets/sheet2.xml" Id="R28d58a535c58458a" /><Relationship Type="http://schemas.openxmlformats.org/officeDocument/2006/relationships/worksheet" Target="/xl/worksheets/sheet3.xml" Id="R8e8fa3cd65584984" /><Relationship Type="http://schemas.openxmlformats.org/officeDocument/2006/relationships/worksheet" Target="/xl/worksheets/sheet4.xml" Id="R4b4e90c0416d41d6" /><Relationship Type="http://schemas.openxmlformats.org/officeDocument/2006/relationships/worksheet" Target="/xl/worksheets/sheet5.xml" Id="Re094601f5f804e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2" customHeight="1">
      <x:c r="A1" s="3" t="str">
        <x:v>FARM MODEL | INPUTS</x:v>
      </x:c>
      <x:c r="B1" s="3"/>
      <x:c r="C1" s="3"/>
      <x:c r="D1" s="3"/>
      <x:c r="E1" s="3"/>
      <x:c r="F1" s="3"/>
      <x:c r="G1" s="3"/>
      <x:c r="H1" s="3"/>
    </x:row>
    <x:row r="3" ht="25" customHeight="1">
      <x:c r="A3" s="19" t="str">
        <x:v>Crop</x:v>
      </x:c>
      <x:c r="B3" s="19" t="str">
        <x:v>Beds (editable)</x:v>
      </x:c>
      <x:c r="C3" s="19" t="str">
        <x:v>Cap</x:v>
      </x:c>
      <x:c r="D3" s="19" t="str">
        <x:v>Revenue / bed ($)</x:v>
      </x:c>
      <x:c r="E3" s="19" t="str">
        <x:v>Field hrs / wk / bed</x:v>
      </x:c>
      <x:c r="F3" s="19" t="str">
        <x:v>Fertilizer / bed ($)</x:v>
      </x:c>
      <x:c r="G3" s="19" t="str">
        <x:v>Diminishing rate</x:v>
      </x:c>
      <x:c r="H3" s="19"/>
    </x:row>
    <x:row r="4">
      <x:c r="A4" t="str">
        <x:v>Tomatoes</x:v>
      </x:c>
      <x:c r="B4" s="7" t="n">
        <x:v>18</x:v>
      </x:c>
      <x:c r="C4" s="10" t="n">
        <x:v>20</x:v>
      </x:c>
      <x:c r="D4" s="10" t="n">
        <x:v>8800</x:v>
      </x:c>
      <x:c r="E4" s="10" t="n">
        <x:v>2.5</x:v>
      </x:c>
      <x:c r="F4" s="10" t="n">
        <x:v>880</x:v>
      </x:c>
      <x:c r="G4" s="12" t="n">
        <x:v>0.1</x:v>
      </x:c>
    </x:row>
    <x:row r="5">
      <x:c r="A5" t="str">
        <x:v>Carrots</x:v>
      </x:c>
      <x:c r="B5" s="7" t="n">
        <x:v>18</x:v>
      </x:c>
      <x:c r="C5" s="10" t="n">
        <x:v>20</x:v>
      </x:c>
      <x:c r="D5" s="10" t="n">
        <x:v>2094</x:v>
      </x:c>
      <x:c r="E5" s="10" t="n">
        <x:v>0.833</x:v>
      </x:c>
      <x:c r="F5" s="10" t="n">
        <x:v>440</x:v>
      </x:c>
      <x:c r="G5" s="12" t="n">
        <x:v>0.025</x:v>
      </x:c>
    </x:row>
    <x:row r="6">
      <x:c r="A6" t="str">
        <x:v>Mesclun</x:v>
      </x:c>
      <x:c r="B6" s="7" t="n">
        <x:v>25</x:v>
      </x:c>
      <x:c r="C6" s="10" t="n">
        <x:v>30</x:v>
      </x:c>
      <x:c r="D6" s="10" t="n">
        <x:v>2700</x:v>
      </x:c>
      <x:c r="E6" s="10" t="n">
        <x:v>1.25</x:v>
      </x:c>
      <x:c r="F6" s="10" t="n">
        <x:v>880</x:v>
      </x:c>
      <x:c r="G6" s="12" t="n">
        <x:v>0.0125</x:v>
      </x:c>
    </x:row>
    <x:row r="10">
      <x:c r="A10" t="str">
        <x:v>Season weeks</x:v>
      </x:c>
      <x:c r="B10" s="10" t="n">
        <x:v>36</x:v>
      </x:c>
    </x:row>
    <x:row r="11">
      <x:c r="A11" t="str">
        <x:v>Fixed cost ($)</x:v>
      </x:c>
      <x:c r="B11" s="10" t="n">
        <x:v>20000</x:v>
      </x:c>
    </x:row>
    <x:row r="12">
      <x:c r="A12" t="str">
        <x:v>Available beds</x:v>
      </x:c>
      <x:c r="B12" s="10" t="n">
        <x:v>64</x:v>
      </x:c>
    </x:row>
    <x:row r="13">
      <x:c r="A13" t="str">
        <x:v>Owner hours</x:v>
      </x:c>
      <x:c r="B13" s="10" t="n">
        <x:v>720</x:v>
      </x:c>
    </x:row>
    <x:row r="14">
      <x:c r="A14" t="str">
        <x:v>Owner hourly rate ($)</x:v>
      </x:c>
      <x:c r="B14" s="10" t="n">
        <x:v>34.72</x:v>
      </x:c>
    </x:row>
    <x:row r="15">
      <x:c r="A15" t="str">
        <x:v>Temp hourly rate ($)</x:v>
      </x:c>
      <x:c r="B15" s="10" t="n">
        <x:v>17.36</x:v>
      </x:c>
    </x:row>
    <x:row r="16">
      <x:c r="A16" t="str">
        <x:v>Temp hours / worker</x:v>
      </x:c>
      <x:c r="B16" s="10" t="n">
        <x:v>1440</x:v>
      </x:c>
    </x:row>
    <x:row r="17">
      <x:c r="A17" t="str">
        <x:v>Maximum temp workers</x:v>
      </x:c>
      <x:c r="B17" s="10" t="n">
        <x:v>4</x:v>
      </x:c>
    </x:row>
    <x:row r="20">
      <x:c r="A20" t="str">
        <x:v>Source</x:v>
      </x:c>
      <x:c r="B20" t="str">
        <x:v>https://adamwstauffer.github.io/ai-lms/case-perfect-competition.html</x:v>
      </x:c>
    </x:row>
    <x:row r="22">
      <x:c r="A22" t="str">
        <x:v>Blue cells are editable case inputs; start with original hypothesis.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FARM MODEL | COST STRUCTURE</x:v>
      </x:c>
      <x:c r="B1" s="3"/>
      <x:c r="C1" s="3"/>
      <x:c r="D1" s="3"/>
      <x:c r="E1" s="3"/>
      <x:c r="F1" s="3"/>
      <x:c r="G1" s="3"/>
      <x:c r="H1" s="3"/>
    </x:row>
    <x:row r="3" ht="25" customHeight="1">
      <x:c r="A3" s="19" t="str">
        <x:v>Crop</x:v>
      </x:c>
      <x:c r="B3" s="19" t="str">
        <x:v>Beds</x:v>
      </x:c>
      <x:c r="C3" s="19" t="str">
        <x:v>Revenue ($)</x:v>
      </x:c>
      <x:c r="D3" s="19" t="str">
        <x:v>Fertilizer ($)</x:v>
      </x:c>
      <x:c r="E3" s="19" t="str">
        <x:v>Labor hours</x:v>
      </x:c>
      <x:c r="F3" s="19" t="str">
        <x:v>Allocated labor ($)</x:v>
      </x:c>
      <x:c r="G3" s="19"/>
      <x:c r="H3" s="19"/>
    </x:row>
    <x:row r="4">
      <x:c r="A4" t="str">
        <x:v>Tomatoes</x:v>
      </x:c>
      <x:c r="B4" t="n">
        <x:f>Inputs!B4</x:f>
        <x:v>18</x:v>
      </x:c>
      <x:c r="C4" t="n">
        <x:f>B4*Inputs!D4</x:f>
        <x:v>158400</x:v>
      </x:c>
      <x:c r="D4" t="n">
        <x:f>B4*Inputs!F4</x:f>
        <x:v>15840</x:v>
      </x:c>
      <x:c r="E4" t="n">
        <x:f>B4*Inputs!E4*Inputs!$B$10*(1+Inputs!G4)^B4</x:f>
        <x:v>9007.066047857425</x:v>
      </x:c>
      <x:c r="F4" t="n">
        <x:f>E4*$B$17</x:f>
        <x:v>166252.37700974764</x:v>
      </x:c>
    </x:row>
    <x:row r="5">
      <x:c r="A5" t="str">
        <x:v>Carrots</x:v>
      </x:c>
      <x:c r="B5" t="n">
        <x:f>Inputs!B5</x:f>
        <x:v>18</x:v>
      </x:c>
      <x:c r="C5" t="n">
        <x:f>B5*Inputs!D5</x:f>
        <x:v>37692</x:v>
      </x:c>
      <x:c r="D5" t="n">
        <x:f>B5*Inputs!F5</x:f>
        <x:v>7920</x:v>
      </x:c>
      <x:c r="E5" t="n">
        <x:f>B5*Inputs!E5*Inputs!$B$10*(1+Inputs!G5)^B5</x:f>
        <x:v>841.8788212784875</x:v>
      </x:c>
      <x:c r="F5" t="n">
        <x:f>E5*$B$17</x:f>
        <x:v>15539.394787163506</x:v>
      </x:c>
    </x:row>
    <x:row r="6">
      <x:c r="A6" t="str">
        <x:v>Mesclun</x:v>
      </x:c>
      <x:c r="B6" t="n">
        <x:f>Inputs!B6</x:f>
        <x:v>25</x:v>
      </x:c>
      <x:c r="C6" t="n">
        <x:f>B6*Inputs!D6</x:f>
        <x:v>67500</x:v>
      </x:c>
      <x:c r="D6" t="n">
        <x:f>B6*Inputs!F6</x:f>
        <x:v>22000</x:v>
      </x:c>
      <x:c r="E6" t="n">
        <x:f>B6*Inputs!E6*Inputs!$B$10*(1+Inputs!G6)^B6</x:f>
        <x:v>1534.7170558625965</x:v>
      </x:c>
      <x:c r="F6" t="n">
        <x:f>E6*$B$17</x:f>
        <x:v>28327.799221062975</x:v>
      </x:c>
    </x:row>
    <x:row r="8">
      <x:c r="A8" t="str">
        <x:v>Total beds</x:v>
      </x:c>
      <x:c r="B8" t="n">
        <x:f>SUM(B4:B6)</x:f>
        <x:v>61</x:v>
      </x:c>
    </x:row>
    <x:row r="9">
      <x:c r="A9" t="str">
        <x:v>Total revenue ($)</x:v>
      </x:c>
      <x:c r="B9" t="n">
        <x:f>SUM(C4:C6)</x:f>
        <x:v>263592</x:v>
      </x:c>
    </x:row>
    <x:row r="10">
      <x:c r="A10" t="str">
        <x:v>Total fertilizer ($)</x:v>
      </x:c>
      <x:c r="B10" t="n">
        <x:f>SUM(D4:D6)</x:f>
        <x:v>45760</x:v>
      </x:c>
    </x:row>
    <x:row r="11">
      <x:c r="A11" t="str">
        <x:v>Total labor hours</x:v>
      </x:c>
      <x:c r="B11" t="n">
        <x:f>SUM(E4:E6)</x:f>
        <x:v>11383.661924998509</x:v>
      </x:c>
    </x:row>
    <x:row r="12">
      <x:c r="A12" t="str">
        <x:v>Owner hours used</x:v>
      </x:c>
      <x:c r="B12" t="n">
        <x:f>MIN(B11,Inputs!B13)</x:f>
        <x:v>720</x:v>
      </x:c>
    </x:row>
    <x:row r="13">
      <x:c r="A13" t="str">
        <x:v>Temporary hours used</x:v>
      </x:c>
      <x:c r="B13" t="n">
        <x:f>MAX(0,B11-B12)</x:f>
        <x:v>10663.661924998509</x:v>
      </x:c>
    </x:row>
    <x:row r="14">
      <x:c r="A14" t="str">
        <x:v>Owner labor cost ($)</x:v>
      </x:c>
      <x:c r="B14" t="n">
        <x:f>B12*Inputs!B14</x:f>
        <x:v>24998.399999999998</x:v>
      </x:c>
    </x:row>
    <x:row r="15">
      <x:c r="A15" t="str">
        <x:v>Temporary labor cost ($)</x:v>
      </x:c>
      <x:c r="B15" t="n">
        <x:f>B13*Inputs!B15</x:f>
        <x:v>185121.17101797412</x:v>
      </x:c>
    </x:row>
    <x:row r="16">
      <x:c r="A16" t="str">
        <x:v>Total labor cost ($)</x:v>
      </x:c>
      <x:c r="B16" t="n">
        <x:f>B14+B15</x:f>
        <x:v>210119.5710179741</x:v>
      </x:c>
    </x:row>
    <x:row r="17">
      <x:c r="A17" t="str">
        <x:v>Blended labor rate ($/hr)</x:v>
      </x:c>
      <x:c r="B17" t="n">
        <x:f>IF(B11=0,0,B16/B11)</x:f>
        <x:v>18.457994659570115</x:v>
      </x:c>
    </x:row>
    <x:row r="18">
      <x:c r="A18" t="str">
        <x:v>Fixed cost ($)</x:v>
      </x:c>
      <x:c r="B18" t="n">
        <x:f>Inputs!B11</x:f>
        <x:v>20000</x:v>
      </x:c>
    </x:row>
    <x:row r="19">
      <x:c r="A19" t="str">
        <x:v>Season profit ($)</x:v>
      </x:c>
      <x:c r="B19" s="15" t="n">
        <x:f>B9-B10-B16-B18</x:f>
        <x:v>-12287.571017974115</x:v>
      </x:c>
    </x:row>
    <x:row r="20">
      <x:c r="A20" t="str">
        <x:v>Labor hours available</x:v>
      </x:c>
      <x:c r="B20" t="n">
        <x:f>Inputs!B13+Inputs!B16*Inputs!B17</x:f>
        <x:v>6480</x:v>
      </x:c>
    </x:row>
    <x:row r="21">
      <x:c r="A21" t="str">
        <x:v>Labor capacity remaining</x:v>
      </x:c>
      <x:c r="B21" t="n">
        <x:f>B20-B11</x:f>
        <x:v>-4903.661924998509</x:v>
      </x:c>
    </x:row>
    <x:row r="22">
      <x:c r="A22" t="str">
        <x:v>Unused beds</x:v>
      </x:c>
      <x:c r="B22" t="n">
        <x:f>Inputs!B12-B8</x:f>
        <x:v>3</x:v>
      </x:c>
    </x:row>
    <x:row r="23">
      <x:c r="A23" t="str">
        <x:v>Temp workers equivalent</x:v>
      </x:c>
      <x:c r="B23" t="n">
        <x:f>B13/Inputs!B16</x:f>
        <x:v>7.405320781248965</x:v>
      </x:c>
    </x:row>
    <x:row r="24">
      <x:c r="A24" t="str">
        <x:v>Allocated labor reconciliation</x:v>
      </x:c>
      <x:c r="B24" t="n">
        <x:f>SUM(F4:F6)-B16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FARM MODEL | MARGINAL COST</x:v>
      </x:c>
      <x:c r="B1" s="3"/>
      <x:c r="C1" s="3"/>
      <x:c r="D1" s="3"/>
      <x:c r="E1" s="3"/>
      <x:c r="F1" s="3"/>
      <x:c r="G1" s="3"/>
      <x:c r="H1" s="3"/>
    </x:row>
    <x:row r="3" ht="25" customHeight="1">
      <x:c r="A3" s="19" t="str">
        <x:v>Crop</x:v>
      </x:c>
      <x:c r="B3" s="19" t="str">
        <x:v>Beds</x:v>
      </x:c>
      <x:c r="C3" s="19" t="str">
        <x:v>Labor hrs</x:v>
      </x:c>
      <x:c r="D3" s="19" t="str">
        <x:v>Revenue ($)</x:v>
      </x:c>
      <x:c r="E3" s="19" t="str">
        <x:v>Fertilizer ($)</x:v>
      </x:c>
      <x:c r="F3" s="19" t="str">
        <x:v>Labor cost ($)</x:v>
      </x:c>
      <x:c r="G3" s="19" t="str">
        <x:v>Marginal cost ($)</x:v>
      </x:c>
      <x:c r="H3" s="19" t="str">
        <x:v>Price minus MC ($)</x:v>
      </x:c>
    </x:row>
    <x:row r="4">
      <x:c r="A4" t="str">
        <x:v>Tomatoes</x:v>
      </x:c>
      <x:c r="B4" t="n">
        <x:v>0</x:v>
      </x:c>
      <x:c r="C4" t="n">
        <x:f>B4*Inputs!E4*Inputs!$B$10*(1+Inputs!G4)^B4</x:f>
        <x:v>0</x:v>
      </x:c>
      <x:c r="D4" t="n">
        <x:f>B4*Inputs!D4</x:f>
        <x:v>0</x:v>
      </x:c>
      <x:c r="E4" t="n">
        <x:f>B4*Inputs!F4</x:f>
        <x:v>0</x:v>
      </x:c>
      <x:c r="F4" t="n">
        <x:f>MIN(C4,Inputs!$B$13)*Inputs!$B$14+MAX(0,C4-Inputs!$B$13)*Inputs!$B$15</x:f>
        <x:v>0</x:v>
      </x:c>
    </x:row>
    <x:row r="5">
      <x:c r="A5" t="str">
        <x:v>Tomatoes</x:v>
      </x:c>
      <x:c r="B5" t="n">
        <x:v>1</x:v>
      </x:c>
      <x:c r="C5" t="n">
        <x:f>B5*Inputs!E4*Inputs!$B$10*(1+Inputs!G4)^B5</x:f>
        <x:v>99.00000000000001</x:v>
      </x:c>
      <x:c r="D5" t="n">
        <x:f>B5*Inputs!D4</x:f>
        <x:v>8800</x:v>
      </x:c>
      <x:c r="E5" t="n">
        <x:f>B5*Inputs!F4</x:f>
        <x:v>880</x:v>
      </x:c>
      <x:c r="F5" t="n">
        <x:f>MIN(C5,Inputs!$B$13)*Inputs!$B$14+MAX(0,C5-Inputs!$B$13)*Inputs!$B$15</x:f>
        <x:v>3437.28</x:v>
      </x:c>
      <x:c r="G5" t="n">
        <x:f>E5+F5-E4-F4</x:f>
        <x:v>4317.280000000001</x:v>
      </x:c>
      <x:c r="H5" t="n">
        <x:f>Inputs!D4-G5</x:f>
        <x:v>4482.719999999999</x:v>
      </x:c>
    </x:row>
    <x:row r="6">
      <x:c r="A6" t="str">
        <x:v>Tomatoes</x:v>
      </x:c>
      <x:c r="B6" t="n">
        <x:v>2</x:v>
      </x:c>
      <x:c r="C6" t="n">
        <x:f>B6*Inputs!E4*Inputs!$B$10*(1+Inputs!G4)^B6</x:f>
        <x:v>217.80000000000004</x:v>
      </x:c>
      <x:c r="D6" t="n">
        <x:f>B6*Inputs!D4</x:f>
        <x:v>17600</x:v>
      </x:c>
      <x:c r="E6" t="n">
        <x:f>B6*Inputs!F4</x:f>
        <x:v>1760</x:v>
      </x:c>
      <x:c r="F6" t="n">
        <x:f>MIN(C6,Inputs!$B$13)*Inputs!$B$14+MAX(0,C6-Inputs!$B$13)*Inputs!$B$15</x:f>
        <x:v>7562.016000000001</x:v>
      </x:c>
      <x:c r="G6" t="n">
        <x:f>E6+F6-E5-F5</x:f>
        <x:v>5004.736000000001</x:v>
      </x:c>
      <x:c r="H6" t="n">
        <x:f>Inputs!D4-G6</x:f>
        <x:v>3795.263999999999</x:v>
      </x:c>
    </x:row>
    <x:row r="7">
      <x:c r="A7" t="str">
        <x:v>Tomatoes</x:v>
      </x:c>
      <x:c r="B7" t="n">
        <x:v>3</x:v>
      </x:c>
      <x:c r="C7" t="n">
        <x:f>B7*Inputs!E4*Inputs!$B$10*(1+Inputs!G4)^B7</x:f>
        <x:v>359.3700000000001</x:v>
      </x:c>
      <x:c r="D7" t="n">
        <x:f>B7*Inputs!D4</x:f>
        <x:v>26400</x:v>
      </x:c>
      <x:c r="E7" t="n">
        <x:f>B7*Inputs!F4</x:f>
        <x:v>2640</x:v>
      </x:c>
      <x:c r="F7" t="n">
        <x:f>MIN(C7,Inputs!$B$13)*Inputs!$B$14+MAX(0,C7-Inputs!$B$13)*Inputs!$B$15</x:f>
        <x:v>12477.326400000004</x:v>
      </x:c>
      <x:c r="G7" t="n">
        <x:f>E7+F7-E6-F6</x:f>
        <x:v>5795.310400000002</x:v>
      </x:c>
      <x:c r="H7" t="n">
        <x:f>Inputs!D4-G7</x:f>
        <x:v>3004.689599999998</x:v>
      </x:c>
    </x:row>
    <x:row r="8">
      <x:c r="A8" t="str">
        <x:v>Tomatoes</x:v>
      </x:c>
      <x:c r="B8" t="n">
        <x:v>4</x:v>
      </x:c>
      <x:c r="C8" t="n">
        <x:f>B8*Inputs!E4*Inputs!$B$10*(1+Inputs!G4)^B8</x:f>
        <x:v>527.0760000000001</x:v>
      </x:c>
      <x:c r="D8" t="n">
        <x:f>B8*Inputs!D4</x:f>
        <x:v>35200</x:v>
      </x:c>
      <x:c r="E8" t="n">
        <x:f>B8*Inputs!F4</x:f>
        <x:v>3520</x:v>
      </x:c>
      <x:c r="F8" t="n">
        <x:f>MIN(C8,Inputs!$B$13)*Inputs!$B$14+MAX(0,C8-Inputs!$B$13)*Inputs!$B$15</x:f>
        <x:v>18300.078720000005</x:v>
      </x:c>
      <x:c r="G8" t="n">
        <x:f>E8+F8-E7-F7</x:f>
        <x:v>6702.752320000001</x:v>
      </x:c>
      <x:c r="H8" t="n">
        <x:f>Inputs!D4-G8</x:f>
        <x:v>2097.2476799999986</x:v>
      </x:c>
    </x:row>
    <x:row r="9">
      <x:c r="A9" t="str">
        <x:v>Tomatoes</x:v>
      </x:c>
      <x:c r="B9" t="n">
        <x:v>5</x:v>
      </x:c>
      <x:c r="C9" t="n">
        <x:f>B9*Inputs!E4*Inputs!$B$10*(1+Inputs!G4)^B9</x:f>
        <x:v>724.7295000000003</x:v>
      </x:c>
      <x:c r="D9" t="n">
        <x:f>B9*Inputs!D4</x:f>
        <x:v>44000</x:v>
      </x:c>
      <x:c r="E9" t="n">
        <x:f>B9*Inputs!F4</x:f>
        <x:v>4400</x:v>
      </x:c>
      <x:c r="F9" t="n">
        <x:f>MIN(C9,Inputs!$B$13)*Inputs!$B$14+MAX(0,C9-Inputs!$B$13)*Inputs!$B$15</x:f>
        <x:v>25080.50412</x:v>
      </x:c>
      <x:c r="G9" t="n">
        <x:f>E9+F9-E8-F8</x:f>
        <x:v>7660.425399999996</x:v>
      </x:c>
      <x:c r="H9" t="n">
        <x:f>Inputs!D4-G9</x:f>
        <x:v>1139.5746000000036</x:v>
      </x:c>
    </x:row>
    <x:row r="10">
      <x:c r="A10" t="str">
        <x:v>Tomatoes</x:v>
      </x:c>
      <x:c r="B10" t="n">
        <x:v>6</x:v>
      </x:c>
      <x:c r="C10" t="n">
        <x:f>B10*Inputs!E4*Inputs!$B$10*(1+Inputs!G4)^B10</x:f>
        <x:v>956.6429400000004</x:v>
      </x:c>
      <x:c r="D10" t="n">
        <x:f>B10*Inputs!D4</x:f>
        <x:v>52800</x:v>
      </x:c>
      <x:c r="E10" t="n">
        <x:f>B10*Inputs!F4</x:f>
        <x:v>5280</x:v>
      </x:c>
      <x:c r="F10" t="n">
        <x:f>MIN(C10,Inputs!$B$13)*Inputs!$B$14+MAX(0,C10-Inputs!$B$13)*Inputs!$B$15</x:f>
        <x:v>29106.521438400006</x:v>
      </x:c>
      <x:c r="G10" t="n">
        <x:f>E10+F10-E9-F9</x:f>
        <x:v>4906.017318400005</x:v>
      </x:c>
      <x:c r="H10" t="n">
        <x:f>Inputs!D4-G10</x:f>
        <x:v>3893.982681599995</x:v>
      </x:c>
    </x:row>
    <x:row r="11">
      <x:c r="A11" t="str">
        <x:v>Tomatoes</x:v>
      </x:c>
      <x:c r="B11" t="n">
        <x:v>7</x:v>
      </x:c>
      <x:c r="C11" t="n">
        <x:f>B11*Inputs!E4*Inputs!$B$10*(1+Inputs!G4)^B11</x:f>
        <x:v>1227.6917730000007</x:v>
      </x:c>
      <x:c r="D11" t="n">
        <x:f>B11*Inputs!D4</x:f>
        <x:v>61600</x:v>
      </x:c>
      <x:c r="E11" t="n">
        <x:f>B11*Inputs!F4</x:f>
        <x:v>6160</x:v>
      </x:c>
      <x:c r="F11" t="n">
        <x:f>MIN(C11,Inputs!$B$13)*Inputs!$B$14+MAX(0,C11-Inputs!$B$13)*Inputs!$B$15</x:f>
        <x:v>33811.92917928001</x:v>
      </x:c>
      <x:c r="G11" t="n">
        <x:f>E11+F11-E10-F10</x:f>
        <x:v>5585.40774088</x:v>
      </x:c>
      <x:c r="H11" t="n">
        <x:f>Inputs!D4-G11</x:f>
        <x:v>3214.5922591199997</x:v>
      </x:c>
    </x:row>
    <x:row r="12">
      <x:c r="A12" t="str">
        <x:v>Tomatoes</x:v>
      </x:c>
      <x:c r="B12" t="n">
        <x:v>8</x:v>
      </x:c>
      <x:c r="C12" t="n">
        <x:f>B12*Inputs!E4*Inputs!$B$10*(1+Inputs!G4)^B12</x:f>
        <x:v>1543.3839432000009</x:v>
      </x:c>
      <x:c r="D12" t="n">
        <x:f>B12*Inputs!D4</x:f>
        <x:v>70400</x:v>
      </x:c>
      <x:c r="E12" t="n">
        <x:f>B12*Inputs!F4</x:f>
        <x:v>7040</x:v>
      </x:c>
      <x:c r="F12" t="n">
        <x:f>MIN(C12,Inputs!$B$13)*Inputs!$B$14+MAX(0,C12-Inputs!$B$13)*Inputs!$B$15</x:f>
        <x:v>39292.345253952015</x:v>
      </x:c>
      <x:c r="G12" t="n">
        <x:f>E12+F12-E11-F11</x:f>
        <x:v>6360.416074672008</x:v>
      </x:c>
      <x:c r="H12" t="n">
        <x:f>Inputs!D4-G12</x:f>
        <x:v>2439.583925327992</x:v>
      </x:c>
    </x:row>
    <x:row r="13">
      <x:c r="A13" t="str">
        <x:v>Tomatoes</x:v>
      </x:c>
      <x:c r="B13" t="n">
        <x:v>9</x:v>
      </x:c>
      <x:c r="C13" t="n">
        <x:f>B13*Inputs!E4*Inputs!$B$10*(1+Inputs!G4)^B13</x:f>
        <x:v>1909.9376297100011</x:v>
      </x:c>
      <x:c r="D13" t="n">
        <x:f>B13*Inputs!D4</x:f>
        <x:v>79200</x:v>
      </x:c>
      <x:c r="E13" t="n">
        <x:f>B13*Inputs!F4</x:f>
        <x:v>7920</x:v>
      </x:c>
      <x:c r="F13" t="n">
        <x:f>MIN(C13,Inputs!$B$13)*Inputs!$B$14+MAX(0,C13-Inputs!$B$13)*Inputs!$B$15</x:f>
        <x:v>45655.717251765614</x:v>
      </x:c>
      <x:c r="G13" t="n">
        <x:f>E13+F13-E12-F12</x:f>
        <x:v>7243.3719978136</x:v>
      </x:c>
      <x:c r="H13" t="n">
        <x:f>Inputs!D4-G13</x:f>
        <x:v>1556.6280021864004</x:v>
      </x:c>
    </x:row>
    <x:row r="14">
      <x:c r="A14" t="str">
        <x:v>Tomatoes</x:v>
      </x:c>
      <x:c r="B14" t="n">
        <x:v>10</x:v>
      </x:c>
      <x:c r="C14" t="n">
        <x:f>B14*Inputs!E4*Inputs!$B$10*(1+Inputs!G4)^B14</x:f>
        <x:v>2334.368214090002</x:v>
      </x:c>
      <x:c r="D14" t="n">
        <x:f>B14*Inputs!D4</x:f>
        <x:v>88000</x:v>
      </x:c>
      <x:c r="E14" t="n">
        <x:f>B14*Inputs!F4</x:f>
        <x:v>8800</x:v>
      </x:c>
      <x:c r="F14" t="n">
        <x:f>MIN(C14,Inputs!$B$13)*Inputs!$B$14+MAX(0,C14-Inputs!$B$13)*Inputs!$B$15</x:f>
        <x:v>53023.83219660243</x:v>
      </x:c>
      <x:c r="G14" t="n">
        <x:f>E14+F14-E13-F13</x:f>
        <x:v>8248.114944836816</x:v>
      </x:c>
      <x:c r="H14" t="n">
        <x:f>Inputs!D4-G14</x:f>
        <x:v>551.885055163184</x:v>
      </x:c>
    </x:row>
    <x:row r="15">
      <x:c r="A15" t="str">
        <x:v>Tomatoes</x:v>
      </x:c>
      <x:c r="B15" t="n">
        <x:v>11</x:v>
      </x:c>
      <x:c r="C15" t="n">
        <x:f>B15*Inputs!E4*Inputs!$B$10*(1+Inputs!G4)^B15</x:f>
        <x:v>2824.5855390489023</x:v>
      </x:c>
      <x:c r="D15" t="n">
        <x:f>B15*Inputs!D4</x:f>
        <x:v>96800</x:v>
      </x:c>
      <x:c r="E15" t="n">
        <x:f>B15*Inputs!F4</x:f>
        <x:v>9680</x:v>
      </x:c>
      <x:c r="F15" t="n">
        <x:f>MIN(C15,Inputs!$B$13)*Inputs!$B$14+MAX(0,C15-Inputs!$B$13)*Inputs!$B$15</x:f>
        <x:v>61534.004957888945</x:v>
      </x:c>
      <x:c r="G15" t="n">
        <x:f>E15+F15-E14-F14</x:f>
        <x:v>9390.172761286514</x:v>
      </x:c>
      <x:c r="H15" t="n">
        <x:f>Inputs!D4-G15</x:f>
        <x:v>-590.1727612865143</x:v>
      </x:c>
    </x:row>
    <x:row r="16">
      <x:c r="A16" t="str">
        <x:v>Tomatoes</x:v>
      </x:c>
      <x:c r="B16" t="n">
        <x:v>12</x:v>
      </x:c>
      <x:c r="C16" t="n">
        <x:f>B16*Inputs!E4*Inputs!$B$10*(1+Inputs!G4)^B16</x:f>
        <x:v>3389.502646858683</x:v>
      </x:c>
      <x:c r="D16" t="n">
        <x:f>B16*Inputs!D4</x:f>
        <x:v>105600</x:v>
      </x:c>
      <x:c r="E16" t="n">
        <x:f>B16*Inputs!F4</x:f>
        <x:v>10560</x:v>
      </x:c>
      <x:c r="F16" t="n">
        <x:f>MIN(C16,Inputs!$B$13)*Inputs!$B$14+MAX(0,C16-Inputs!$B$13)*Inputs!$B$15</x:f>
        <x:v>71340.96594946673</x:v>
      </x:c>
      <x:c r="G16" t="n">
        <x:f>E16+F16-E15-F15</x:f>
        <x:v>10686.960991577784</x:v>
      </x:c>
      <x:c r="H16" t="n">
        <x:f>Inputs!D4-G16</x:f>
        <x:v>-1886.9609915777837</x:v>
      </x:c>
    </x:row>
    <x:row r="17">
      <x:c r="A17" t="str">
        <x:v>Tomatoes</x:v>
      </x:c>
      <x:c r="B17" t="n">
        <x:v>13</x:v>
      </x:c>
      <x:c r="C17" t="n">
        <x:f>B17*Inputs!E4*Inputs!$B$10*(1+Inputs!G4)^B17</x:f>
        <x:v>4039.1573208399304</x:v>
      </x:c>
      <x:c r="D17" t="n">
        <x:f>B17*Inputs!D4</x:f>
        <x:v>114400</x:v>
      </x:c>
      <x:c r="E17" t="n">
        <x:f>B17*Inputs!F4</x:f>
        <x:v>11440</x:v>
      </x:c>
      <x:c r="F17" t="n">
        <x:f>MIN(C17,Inputs!$B$13)*Inputs!$B$14+MAX(0,C17-Inputs!$B$13)*Inputs!$B$15</x:f>
        <x:v>82618.97108978119</x:v>
      </x:c>
      <x:c r="G17" t="n">
        <x:f>E17+F17-E16-F16</x:f>
        <x:v>12158.00514031446</x:v>
      </x:c>
      <x:c r="H17" t="n">
        <x:f>Inputs!D4-G17</x:f>
        <x:v>-3358.0051403144607</x:v>
      </x:c>
    </x:row>
    <x:row r="18">
      <x:c r="A18" t="str">
        <x:v>Tomatoes</x:v>
      </x:c>
      <x:c r="B18" t="n">
        <x:v>14</x:v>
      </x:c>
      <x:c r="C18" t="n">
        <x:f>B18*Inputs!E4*Inputs!$B$10*(1+Inputs!G4)^B18</x:f>
        <x:v>4784.847903148841</x:v>
      </x:c>
      <x:c r="D18" t="n">
        <x:f>B18*Inputs!D4</x:f>
        <x:v>123200</x:v>
      </x:c>
      <x:c r="E18" t="n">
        <x:f>B18*Inputs!F4</x:f>
        <x:v>12320</x:v>
      </x:c>
      <x:c r="F18" t="n">
        <x:f>MIN(C18,Inputs!$B$13)*Inputs!$B$14+MAX(0,C18-Inputs!$B$13)*Inputs!$B$15</x:f>
        <x:v>95564.15959866387</x:v>
      </x:c>
      <x:c r="G18" t="n">
        <x:f>E18+F18-E17-F17</x:f>
        <x:v>13825.188508882682</x:v>
      </x:c>
      <x:c r="H18" t="n">
        <x:f>Inputs!D4-G18</x:f>
        <x:v>-5025.188508882682</x:v>
      </x:c>
    </x:row>
    <x:row r="19">
      <x:c r="A19" t="str">
        <x:v>Tomatoes</x:v>
      </x:c>
      <x:c r="B19" t="n">
        <x:v>15</x:v>
      </x:c>
      <x:c r="C19" t="n">
        <x:f>B19*Inputs!E4*Inputs!$B$10*(1+Inputs!G4)^B19</x:f>
        <x:v>5639.285028711135</x:v>
      </x:c>
      <x:c r="D19" t="n">
        <x:f>B19*Inputs!D4</x:f>
        <x:v>132000</x:v>
      </x:c>
      <x:c r="E19" t="n">
        <x:f>B19*Inputs!F4</x:f>
        <x:v>13200</x:v>
      </x:c>
      <x:c r="F19" t="n">
        <x:f>MIN(C19,Inputs!$B$13)*Inputs!$B$14+MAX(0,C19-Inputs!$B$13)*Inputs!$B$15</x:f>
        <x:v>110397.1880984253</x:v>
      </x:c>
      <x:c r="G19" t="n">
        <x:f>E19+F19-E18-F18</x:f>
        <x:v>15713.028499761422</x:v>
      </x:c>
      <x:c r="H19" t="n">
        <x:f>Inputs!D4-G19</x:f>
        <x:v>-6913.028499761422</x:v>
      </x:c>
    </x:row>
    <x:row r="20">
      <x:c r="A20" t="str">
        <x:v>Tomatoes</x:v>
      </x:c>
      <x:c r="B20" t="n">
        <x:v>16</x:v>
      </x:c>
      <x:c r="C20" t="n">
        <x:f>B20*Inputs!E4*Inputs!$B$10*(1+Inputs!G4)^B20</x:f>
        <x:v>6616.761100354398</x:v>
      </x:c>
      <x:c r="D20" t="n">
        <x:f>B20*Inputs!D4</x:f>
        <x:v>140800</x:v>
      </x:c>
      <x:c r="E20" t="n">
        <x:f>B20*Inputs!F4</x:f>
        <x:v>14080</x:v>
      </x:c>
      <x:c r="F20" t="n">
        <x:f>MIN(C20,Inputs!$B$13)*Inputs!$B$14+MAX(0,C20-Inputs!$B$13)*Inputs!$B$15</x:f>
        <x:v>127366.17270215234</x:v>
      </x:c>
      <x:c r="G20" t="n">
        <x:f>E20+F20-E19-F19</x:f>
        <x:v>17848.984603727047</x:v>
      </x:c>
      <x:c r="H20" t="n">
        <x:f>Inputs!D4-G20</x:f>
        <x:v>-9048.984603727047</x:v>
      </x:c>
    </x:row>
    <x:row r="21">
      <x:c r="A21" t="str">
        <x:v>Tomatoes</x:v>
      </x:c>
      <x:c r="B21" t="n">
        <x:v>17</x:v>
      </x:c>
      <x:c r="C21" t="n">
        <x:f>B21*Inputs!E4*Inputs!$B$10*(1+Inputs!G4)^B21</x:f>
        <x:v>7733.339536039203</x:v>
      </x:c>
      <x:c r="D21" t="n">
        <x:f>B21*Inputs!D4</x:f>
        <x:v>149600</x:v>
      </x:c>
      <x:c r="E21" t="n">
        <x:f>B21*Inputs!F4</x:f>
        <x:v>14960</x:v>
      </x:c>
      <x:c r="F21" t="n">
        <x:f>MIN(C21,Inputs!$B$13)*Inputs!$B$14+MAX(0,C21-Inputs!$B$13)*Inputs!$B$15</x:f>
        <x:v>146749.97434564057</x:v>
      </x:c>
      <x:c r="G21" t="n">
        <x:f>E21+F21-E20-F20</x:f>
        <x:v>20263.80164348823</x:v>
      </x:c>
      <x:c r="H21" t="n">
        <x:f>Inputs!D4-G21</x:f>
        <x:v>-11463.80164348823</x:v>
      </x:c>
    </x:row>
    <x:row r="22">
      <x:c r="A22" t="str">
        <x:v>Tomatoes</x:v>
      </x:c>
      <x:c r="B22" t="n">
        <x:v>18</x:v>
      </x:c>
      <x:c r="C22" t="n">
        <x:f>B22*Inputs!E4*Inputs!$B$10*(1+Inputs!G4)^B22</x:f>
        <x:v>9007.066047857425</x:v>
      </x:c>
      <x:c r="D22" t="n">
        <x:f>B22*Inputs!D4</x:f>
        <x:v>158400</x:v>
      </x:c>
      <x:c r="E22" t="n">
        <x:f>B22*Inputs!F4</x:f>
        <x:v>15840</x:v>
      </x:c>
      <x:c r="F22" t="n">
        <x:f>MIN(C22,Inputs!$B$13)*Inputs!$B$14+MAX(0,C22-Inputs!$B$13)*Inputs!$B$15</x:f>
        <x:v>168861.8665908049</x:v>
      </x:c>
      <x:c r="G22" t="n">
        <x:f>E22+F22-E21-F21</x:f>
        <x:v>22991.892245164316</x:v>
      </x:c>
      <x:c r="H22" t="n">
        <x:f>Inputs!D4-G22</x:f>
        <x:v>-14191.892245164316</x:v>
      </x:c>
    </x:row>
    <x:row r="23">
      <x:c r="A23" t="str">
        <x:v>Tomatoes</x:v>
      </x:c>
      <x:c r="B23" t="n">
        <x:v>19</x:v>
      </x:c>
      <x:c r="C23" t="n">
        <x:f>B23*Inputs!E4*Inputs!$B$10*(1+Inputs!G4)^B23</x:f>
        <x:v>10458.204466678902</x:v>
      </x:c>
      <x:c r="D23" t="n">
        <x:f>B23*Inputs!D4</x:f>
        <x:v>167200</x:v>
      </x:c>
      <x:c r="E23" t="n">
        <x:f>B23*Inputs!F4</x:f>
        <x:v>16720</x:v>
      </x:c>
      <x:c r="F23" t="n">
        <x:f>MIN(C23,Inputs!$B$13)*Inputs!$B$14+MAX(0,C23-Inputs!$B$13)*Inputs!$B$15</x:f>
        <x:v>194053.62954154573</x:v>
      </x:c>
      <x:c r="G23" t="n">
        <x:f>E23+F23-E22-F22</x:f>
        <x:v>26071.762950740842</x:v>
      </x:c>
      <x:c r="H23" t="n">
        <x:f>Inputs!D4-G23</x:f>
        <x:v>-17271.762950740842</x:v>
      </x:c>
    </x:row>
    <x:row r="24">
      <x:c r="A24" t="str">
        <x:v>Tomatoes</x:v>
      </x:c>
      <x:c r="B24" t="n">
        <x:v>20</x:v>
      </x:c>
      <x:c r="C24" t="n">
        <x:f>B24*Inputs!E4*Inputs!$B$10*(1+Inputs!G4)^B24</x:f>
        <x:v>12109.499908786096</x:v>
      </x:c>
      <x:c r="D24" t="n">
        <x:f>B24*Inputs!D4</x:f>
        <x:v>176000</x:v>
      </x:c>
      <x:c r="E24" t="n">
        <x:f>B24*Inputs!F4</x:f>
        <x:v>17600</x:v>
      </x:c>
      <x:c r="F24" t="n">
        <x:f>MIN(C24,Inputs!$B$13)*Inputs!$B$14+MAX(0,C24-Inputs!$B$13)*Inputs!$B$15</x:f>
        <x:v>222720.11841652662</x:v>
      </x:c>
      <x:c r="G24" t="n">
        <x:f>E24+F24-E23-F23</x:f>
        <x:v>29546.48887498089</x:v>
      </x:c>
      <x:c r="H24" t="n">
        <x:f>Inputs!D4-G24</x:f>
        <x:v>-20746.48887498089</x:v>
      </x:c>
    </x:row>
    <x:row r="37">
      <x:c r="A37" t="str">
        <x:v>Carrots</x:v>
      </x:c>
      <x:c r="B37" t="n">
        <x:v>0</x:v>
      </x:c>
      <x:c r="C37" t="n">
        <x:f>B37*Inputs!E5*Inputs!$B$10*(1+Inputs!G5)^B37</x:f>
        <x:v>0</x:v>
      </x:c>
      <x:c r="D37" t="n">
        <x:f>B37*Inputs!D5</x:f>
        <x:v>0</x:v>
      </x:c>
      <x:c r="E37" t="n">
        <x:f>B37*Inputs!F5</x:f>
        <x:v>0</x:v>
      </x:c>
      <x:c r="F37" t="n">
        <x:f>MIN(C37,Inputs!$B$13)*Inputs!$B$14+MAX(0,C37-Inputs!$B$13)*Inputs!$B$15</x:f>
        <x:v>0</x:v>
      </x:c>
    </x:row>
    <x:row r="38">
      <x:c r="A38" t="str">
        <x:v>Carrots</x:v>
      </x:c>
      <x:c r="B38" t="n">
        <x:v>1</x:v>
      </x:c>
      <x:c r="C38" t="n">
        <x:f>B38*Inputs!E5*Inputs!$B$10*(1+Inputs!G5)^B38</x:f>
        <x:v>30.737699999999997</x:v>
      </x:c>
      <x:c r="D38" t="n">
        <x:f>B38*Inputs!D5</x:f>
        <x:v>2094</x:v>
      </x:c>
      <x:c r="E38" t="n">
        <x:f>B38*Inputs!F5</x:f>
        <x:v>440</x:v>
      </x:c>
      <x:c r="F38" t="n">
        <x:f>MIN(C38,Inputs!$B$13)*Inputs!$B$14+MAX(0,C38-Inputs!$B$13)*Inputs!$B$15</x:f>
        <x:v>1067.2129439999999</x:v>
      </x:c>
      <x:c r="G38" t="n">
        <x:f>E38+F38-E37-F37</x:f>
        <x:v>1507.2129439999999</x:v>
      </x:c>
      <x:c r="H38" t="n">
        <x:f>Inputs!D5-G38</x:f>
        <x:v>586.7870560000001</x:v>
      </x:c>
    </x:row>
    <x:row r="39">
      <x:c r="A39" t="str">
        <x:v>Carrots</x:v>
      </x:c>
      <x:c r="B39" t="n">
        <x:v>2</x:v>
      </x:c>
      <x:c r="C39" t="n">
        <x:f>B39*Inputs!E5*Inputs!$B$10*(1+Inputs!G5)^B39</x:f>
        <x:v>63.01228499999999</x:v>
      </x:c>
      <x:c r="D39" t="n">
        <x:f>B39*Inputs!D5</x:f>
        <x:v>4188</x:v>
      </x:c>
      <x:c r="E39" t="n">
        <x:f>B39*Inputs!F5</x:f>
        <x:v>880</x:v>
      </x:c>
      <x:c r="F39" t="n">
        <x:f>MIN(C39,Inputs!$B$13)*Inputs!$B$14+MAX(0,C39-Inputs!$B$13)*Inputs!$B$15</x:f>
        <x:v>2187.7865351999994</x:v>
      </x:c>
      <x:c r="G39" t="n">
        <x:f>E39+F39-E38-F38</x:f>
        <x:v>1560.5735911999996</x:v>
      </x:c>
      <x:c r="H39" t="n">
        <x:f>Inputs!D5-G39</x:f>
        <x:v>533.4264088000004</x:v>
      </x:c>
    </x:row>
    <x:row r="40">
      <x:c r="A40" t="str">
        <x:v>Carrots</x:v>
      </x:c>
      <x:c r="B40" t="n">
        <x:v>3</x:v>
      </x:c>
      <x:c r="C40" t="n">
        <x:f>B40*Inputs!E5*Inputs!$B$10*(1+Inputs!G5)^B40</x:f>
        <x:v>96.88138818749998</x:v>
      </x:c>
      <x:c r="D40" t="n">
        <x:f>B40*Inputs!D5</x:f>
        <x:v>6282</x:v>
      </x:c>
      <x:c r="E40" t="n">
        <x:f>B40*Inputs!F5</x:f>
        <x:v>1320</x:v>
      </x:c>
      <x:c r="F40" t="n">
        <x:f>MIN(C40,Inputs!$B$13)*Inputs!$B$14+MAX(0,C40-Inputs!$B$13)*Inputs!$B$15</x:f>
        <x:v>3363.721797869999</x:v>
      </x:c>
      <x:c r="G40" t="n">
        <x:f>E40+F40-E39-F39</x:f>
        <x:v>1615.9352626699997</x:v>
      </x:c>
      <x:c r="H40" t="n">
        <x:f>Inputs!D5-G40</x:f>
        <x:v>478.0647373300003</x:v>
      </x:c>
    </x:row>
    <x:row r="41">
      <x:c r="A41" t="str">
        <x:v>Carrots</x:v>
      </x:c>
      <x:c r="B41" t="n">
        <x:v>4</x:v>
      </x:c>
      <x:c r="C41" t="n">
        <x:f>B41*Inputs!E5*Inputs!$B$10*(1+Inputs!G5)^B41</x:f>
        <x:v>132.40456385624998</x:v>
      </x:c>
      <x:c r="D41" t="n">
        <x:f>B41*Inputs!D5</x:f>
        <x:v>8376</x:v>
      </x:c>
      <x:c r="E41" t="n">
        <x:f>B41*Inputs!F5</x:f>
        <x:v>1760</x:v>
      </x:c>
      <x:c r="F41" t="n">
        <x:f>MIN(C41,Inputs!$B$13)*Inputs!$B$14+MAX(0,C41-Inputs!$B$13)*Inputs!$B$15</x:f>
        <x:v>4597.086457088999</x:v>
      </x:c>
      <x:c r="G41" t="n">
        <x:f>E41+F41-E40-F40</x:f>
        <x:v>1673.3646592189998</x:v>
      </x:c>
      <x:c r="H41" t="n">
        <x:f>Inputs!D5-G41</x:f>
        <x:v>420.6353407810002</x:v>
      </x:c>
    </x:row>
    <x:row r="42">
      <x:c r="A42" t="str">
        <x:v>Carrots</x:v>
      </x:c>
      <x:c r="B42" t="n">
        <x:v>5</x:v>
      </x:c>
      <x:c r="C42" t="n">
        <x:f>B42*Inputs!E5*Inputs!$B$10*(1+Inputs!G5)^B42</x:f>
        <x:v>169.64334744082026</x:v>
      </x:c>
      <x:c r="D42" t="n">
        <x:f>B42*Inputs!D5</x:f>
        <x:v>10470</x:v>
      </x:c>
      <x:c r="E42" t="n">
        <x:f>B42*Inputs!F5</x:f>
        <x:v>2200</x:v>
      </x:c>
      <x:c r="F42" t="n">
        <x:f>MIN(C42,Inputs!$B$13)*Inputs!$B$14+MAX(0,C42-Inputs!$B$13)*Inputs!$B$15</x:f>
        <x:v>5890.017023145279</x:v>
      </x:c>
      <x:c r="G42" t="n">
        <x:f>E42+F42-E41-F41</x:f>
        <x:v>1732.9305660562804</x:v>
      </x:c>
      <x:c r="H42" t="n">
        <x:f>Inputs!D5-G42</x:f>
        <x:v>361.06943394371956</x:v>
      </x:c>
    </x:row>
    <x:row r="43">
      <x:c r="A43" t="str">
        <x:v>Carrots</x:v>
      </x:c>
      <x:c r="B43" t="n">
        <x:v>6</x:v>
      </x:c>
      <x:c r="C43" t="n">
        <x:f>B43*Inputs!E5*Inputs!$B$10*(1+Inputs!G5)^B43</x:f>
        <x:v>208.66131735220887</x:v>
      </x:c>
      <x:c r="D43" t="n">
        <x:f>B43*Inputs!D5</x:f>
        <x:v>12564</x:v>
      </x:c>
      <x:c r="E43" t="n">
        <x:f>B43*Inputs!F5</x:f>
        <x:v>2640</x:v>
      </x:c>
      <x:c r="F43" t="n">
        <x:f>MIN(C43,Inputs!$B$13)*Inputs!$B$14+MAX(0,C43-Inputs!$B$13)*Inputs!$B$15</x:f>
        <x:v>7244.720938468692</x:v>
      </x:c>
      <x:c r="G43" t="n">
        <x:f>E43+F43-E42-F42</x:f>
        <x:v>1794.7039153234127</x:v>
      </x:c>
      <x:c r="H43" t="n">
        <x:f>Inputs!D5-G43</x:f>
        <x:v>299.29608467658727</x:v>
      </x:c>
    </x:row>
    <x:row r="44">
      <x:c r="A44" t="str">
        <x:v>Carrots</x:v>
      </x:c>
      <x:c r="B44" t="n">
        <x:v>7</x:v>
      </x:c>
      <x:c r="C44" t="n">
        <x:f>B44*Inputs!E5*Inputs!$B$10*(1+Inputs!G5)^B44</x:f>
        <x:v>249.52415866701648</x:v>
      </x:c>
      <x:c r="D44" t="n">
        <x:f>B44*Inputs!D5</x:f>
        <x:v>14658</x:v>
      </x:c>
      <x:c r="E44" t="n">
        <x:f>B44*Inputs!F5</x:f>
        <x:v>3080</x:v>
      </x:c>
      <x:c r="F44" t="n">
        <x:f>MIN(C44,Inputs!$B$13)*Inputs!$B$14+MAX(0,C44-Inputs!$B$13)*Inputs!$B$15</x:f>
        <x:v>8663.478788918812</x:v>
      </x:c>
      <x:c r="G44" t="n">
        <x:f>E44+F44-E43-F43</x:f>
        <x:v>1858.7578504501198</x:v>
      </x:c>
      <x:c r="H44" t="n">
        <x:f>Inputs!D5-G44</x:f>
        <x:v>235.2421495498802</x:v>
      </x:c>
    </x:row>
    <x:row r="45">
      <x:c r="A45" t="str">
        <x:v>Carrots</x:v>
      </x:c>
      <x:c r="B45" t="n">
        <x:v>8</x:v>
      </x:c>
      <x:c r="C45" t="n">
        <x:f>B45*Inputs!E5*Inputs!$B$10*(1+Inputs!G5)^B45</x:f>
        <x:v>292.2997287242193</x:v>
      </x:c>
      <x:c r="D45" t="n">
        <x:f>B45*Inputs!D5</x:f>
        <x:v>16752</x:v>
      </x:c>
      <x:c r="E45" t="n">
        <x:f>B45*Inputs!F5</x:f>
        <x:v>3520</x:v>
      </x:c>
      <x:c r="F45" t="n">
        <x:f>MIN(C45,Inputs!$B$13)*Inputs!$B$14+MAX(0,C45-Inputs!$B$13)*Inputs!$B$15</x:f>
        <x:v>10148.646581304893</x:v>
      </x:c>
      <x:c r="G45" t="n">
        <x:f>E45+F45-E44-F44</x:f>
        <x:v>1925.1677923860807</x:v>
      </x:c>
      <x:c r="H45" t="n">
        <x:f>Inputs!D5-G45</x:f>
        <x:v>168.8322076139193</x:v>
      </x:c>
    </x:row>
    <x:row r="46">
      <x:c r="A46" t="str">
        <x:v>Carrots</x:v>
      </x:c>
      <x:c r="B46" t="n">
        <x:v>9</x:v>
      </x:c>
      <x:c r="C46" t="n">
        <x:f>B46*Inputs!E5*Inputs!$B$10*(1+Inputs!G5)^B46</x:f>
        <x:v>337.05812468511533</x:v>
      </x:c>
      <x:c r="D46" t="n">
        <x:f>B46*Inputs!D5</x:f>
        <x:v>18846</x:v>
      </x:c>
      <x:c r="E46" t="n">
        <x:f>B46*Inputs!F5</x:f>
        <x:v>3960</x:v>
      </x:c>
      <x:c r="F46" t="n">
        <x:f>MIN(C46,Inputs!$B$13)*Inputs!$B$14+MAX(0,C46-Inputs!$B$13)*Inputs!$B$15</x:f>
        <x:v>11702.658089067203</x:v>
      </x:c>
      <x:c r="G46" t="n">
        <x:f>E46+F46-E45-F45</x:f>
        <x:v>1994.0115077623104</x:v>
      </x:c>
      <x:c r="H46" t="n">
        <x:f>Inputs!D5-G46</x:f>
        <x:v>99.98849223768957</x:v>
      </x:c>
    </x:row>
    <x:row r="47">
      <x:c r="A47" t="str">
        <x:v>Carrots</x:v>
      </x:c>
      <x:c r="B47" t="n">
        <x:v>10</x:v>
      </x:c>
      <x:c r="C47" t="n">
        <x:f>B47*Inputs!E5*Inputs!$B$10*(1+Inputs!G5)^B47</x:f>
        <x:v>383.8717531136036</x:v>
      </x:c>
      <x:c r="D47" t="n">
        <x:f>B47*Inputs!D5</x:f>
        <x:v>20940</x:v>
      </x:c>
      <x:c r="E47" t="n">
        <x:f>B47*Inputs!F5</x:f>
        <x:v>4400</x:v>
      </x:c>
      <x:c r="F47" t="n">
        <x:f>MIN(C47,Inputs!$B$13)*Inputs!$B$14+MAX(0,C47-Inputs!$B$13)*Inputs!$B$15</x:f>
        <x:v>13328.027268104315</x:v>
      </x:c>
      <x:c r="G47" t="n">
        <x:f>E47+F47-E46-F46</x:f>
        <x:v>2065.3691790371104</x:v>
      </x:c>
      <x:c r="H47" t="n">
        <x:f>Inputs!D5-G47</x:f>
        <x:v>28.63082096288963</x:v>
      </x:c>
    </x:row>
    <x:row r="48">
      <x:c r="A48" t="str">
        <x:v>Carrots</x:v>
      </x:c>
      <x:c r="B48" t="n">
        <x:v>11</x:v>
      </x:c>
      <x:c r="C48" t="n">
        <x:f>B48*Inputs!E5*Inputs!$B$10*(1+Inputs!G5)^B48</x:f>
        <x:v>432.815401635588</x:v>
      </x:c>
      <x:c r="D48" t="n">
        <x:f>B48*Inputs!D5</x:f>
        <x:v>23034</x:v>
      </x:c>
      <x:c r="E48" t="n">
        <x:f>B48*Inputs!F5</x:f>
        <x:v>4840</x:v>
      </x:c>
      <x:c r="F48" t="n">
        <x:f>MIN(C48,Inputs!$B$13)*Inputs!$B$14+MAX(0,C48-Inputs!$B$13)*Inputs!$B$15</x:f>
        <x:v>15027.350744787615</x:v>
      </x:c>
      <x:c r="G48" t="n">
        <x:f>E48+F48-E47-F47</x:f>
        <x:v>2139.3234766832993</x:v>
      </x:c>
      <x:c r="H48" t="n">
        <x:f>Inputs!D5-G48</x:f>
        <x:v>-45.323476683299305</x:v>
      </x:c>
    </x:row>
    <x:row r="49">
      <x:c r="A49" t="str">
        <x:v>Carrots</x:v>
      </x:c>
      <x:c r="B49" t="n">
        <x:v>12</x:v>
      </x:c>
      <x:c r="C49" t="n">
        <x:f>B49*Inputs!E5*Inputs!$B$10*(1+Inputs!G5)^B49</x:f>
        <x:v>483.96631273797556</x:v>
      </x:c>
      <x:c r="D49" t="n">
        <x:f>B49*Inputs!D5</x:f>
        <x:v>25128</x:v>
      </x:c>
      <x:c r="E49" t="n">
        <x:f>B49*Inputs!F5</x:f>
        <x:v>5280</x:v>
      </x:c>
      <x:c r="F49" t="n">
        <x:f>MIN(C49,Inputs!$B$13)*Inputs!$B$14+MAX(0,C49-Inputs!$B$13)*Inputs!$B$15</x:f>
        <x:v>16803.31037826251</x:v>
      </x:c>
      <x:c r="G49" t="n">
        <x:f>E49+F49-E48-F48</x:f>
        <x:v>2215.9596334748967</x:v>
      </x:c>
      <x:c r="H49" t="n">
        <x:f>Inputs!D5-G49</x:f>
        <x:v>-121.95963347489669</x:v>
      </x:c>
    </x:row>
    <x:row r="50">
      <x:c r="A50" t="str">
        <x:v>Carrots</x:v>
      </x:c>
      <x:c r="B50" t="n">
        <x:v>13</x:v>
      </x:c>
      <x:c r="C50" t="n">
        <x:f>B50*Inputs!E5*Inputs!$B$10*(1+Inputs!G5)^B50</x:f>
        <x:v>537.4042597694604</x:v>
      </x:c>
      <x:c r="D50" t="n">
        <x:f>B50*Inputs!D5</x:f>
        <x:v>27222</x:v>
      </x:c>
      <x:c r="E50" t="n">
        <x:f>B50*Inputs!F5</x:f>
        <x:v>5720</x:v>
      </x:c>
      <x:c r="F50" t="n">
        <x:f>MIN(C50,Inputs!$B$13)*Inputs!$B$14+MAX(0,C50-Inputs!$B$13)*Inputs!$B$15</x:f>
        <x:v>18658.675899195663</x:v>
      </x:c>
      <x:c r="G50" t="n">
        <x:f>E50+F50-E49-F49</x:f>
        <x:v>2295.365520933152</x:v>
      </x:c>
      <x:c r="H50" t="n">
        <x:f>Inputs!D5-G50</x:f>
        <x:v>-201.36552093315186</x:v>
      </x:c>
    </x:row>
    <x:row r="51">
      <x:c r="A51" t="str">
        <x:v>Carrots</x:v>
      </x:c>
      <x:c r="B51" t="n">
        <x:v>14</x:v>
      </x:c>
      <x:c r="C51" t="n">
        <x:f>B51*Inputs!E5*Inputs!$B$10*(1+Inputs!G5)^B51</x:f>
        <x:v>593.2116252070582</x:v>
      </x:c>
      <x:c r="D51" t="n">
        <x:f>B51*Inputs!D5</x:f>
        <x:v>29316</x:v>
      </x:c>
      <x:c r="E51" t="n">
        <x:f>B51*Inputs!F5</x:f>
        <x:v>6160</x:v>
      </x:c>
      <x:c r="F51" t="n">
        <x:f>MIN(C51,Inputs!$B$13)*Inputs!$B$14+MAX(0,C51-Inputs!$B$13)*Inputs!$B$15</x:f>
        <x:v>20596.30762718906</x:v>
      </x:c>
      <x:c r="G51" t="n">
        <x:f>E51+F51-E50-F50</x:f>
        <x:v>2377.6317279933974</x:v>
      </x:c>
      <x:c r="H51" t="n">
        <x:f>Inputs!D5-G51</x:f>
        <x:v>-283.63172799339736</x:v>
      </x:c>
    </x:row>
    <x:row r="52">
      <x:c r="A52" t="str">
        <x:v>Carrots</x:v>
      </x:c>
      <x:c r="B52" t="n">
        <x:v>15</x:v>
      </x:c>
      <x:c r="C52" t="n">
        <x:f>B52*Inputs!E5*Inputs!$B$10*(1+Inputs!G5)^B52</x:f>
        <x:v>651.47348125418</x:v>
      </x:c>
      <x:c r="D52" t="n">
        <x:f>B52*Inputs!D5</x:f>
        <x:v>31410</x:v>
      </x:c>
      <x:c r="E52" t="n">
        <x:f>B52*Inputs!F5</x:f>
        <x:v>6600</x:v>
      </x:c>
      <x:c r="F52" t="n">
        <x:f>MIN(C52,Inputs!$B$13)*Inputs!$B$14+MAX(0,C52-Inputs!$B$13)*Inputs!$B$15</x:f>
        <x:v>22619.15926914513</x:v>
      </x:c>
      <x:c r="G52" t="n">
        <x:f>E52+F52-E51-F51</x:f>
        <x:v>2462.851641956069</x:v>
      </x:c>
      <x:c r="H52" t="n">
        <x:f>Inputs!D5-G52</x:f>
        <x:v>-368.8516419560692</x:v>
      </x:c>
    </x:row>
    <x:row r="53">
      <x:c r="A53" t="str">
        <x:v>Carrots</x:v>
      </x:c>
      <x:c r="B53" t="n">
        <x:v>16</x:v>
      </x:c>
      <x:c r="C53" t="n">
        <x:f>B53*Inputs!E5*Inputs!$B$10*(1+Inputs!G5)^B53</x:f>
        <x:v>712.2776728379034</x:v>
      </x:c>
      <x:c r="D53" t="n">
        <x:f>B53*Inputs!D5</x:f>
        <x:v>33504</x:v>
      </x:c>
      <x:c r="E53" t="n">
        <x:f>B53*Inputs!F5</x:f>
        <x:v>7040</x:v>
      </x:c>
      <x:c r="F53" t="n">
        <x:f>MIN(C53,Inputs!$B$13)*Inputs!$B$14+MAX(0,C53-Inputs!$B$13)*Inputs!$B$15</x:f>
        <x:v>24730.280800932007</x:v>
      </x:c>
      <x:c r="G53" t="n">
        <x:f>E53+F53-E52-F52</x:f>
        <x:v>2551.1215317868773</x:v>
      </x:c>
      <x:c r="H53" t="n">
        <x:f>Inputs!D5-G53</x:f>
        <x:v>-457.1215317868773</x:v>
      </x:c>
    </x:row>
    <x:row r="54">
      <x:c r="A54" t="str">
        <x:v>Carrots</x:v>
      </x:c>
      <x:c r="B54" t="n">
        <x:v>17</x:v>
      </x:c>
      <x:c r="C54" t="n">
        <x:f>B54*Inputs!E5*Inputs!$B$10*(1+Inputs!G5)^B54</x:f>
        <x:v>775.7149030750292</x:v>
      </x:c>
      <x:c r="D54" t="n">
        <x:f>B54*Inputs!D5</x:f>
        <x:v>35598</x:v>
      </x:c>
      <x:c r="E54" t="n">
        <x:f>B54*Inputs!F5</x:f>
        <x:v>7480</x:v>
      </x:c>
      <x:c r="F54" t="n">
        <x:f>MIN(C54,Inputs!$B$13)*Inputs!$B$14+MAX(0,C54-Inputs!$B$13)*Inputs!$B$15</x:f>
        <x:v>25965.610717382504</x:v>
      </x:c>
      <x:c r="G54" t="n">
        <x:f>E54+F54-E53-F53</x:f>
        <x:v>1675.3299164504933</x:v>
      </x:c>
      <x:c r="H54" t="n">
        <x:f>Inputs!D5-G54</x:f>
        <x:v>418.67008354950667</x:v>
      </x:c>
    </x:row>
    <x:row r="55">
      <x:c r="A55" t="str">
        <x:v>Carrots</x:v>
      </x:c>
      <x:c r="B55" t="n">
        <x:v>18</x:v>
      </x:c>
      <x:c r="C55" t="n">
        <x:f>B55*Inputs!E5*Inputs!$B$10*(1+Inputs!G5)^B55</x:f>
        <x:v>841.8788212784875</x:v>
      </x:c>
      <x:c r="D55" t="n">
        <x:f>B55*Inputs!D5</x:f>
        <x:v>37692</x:v>
      </x:c>
      <x:c r="E55" t="n">
        <x:f>B55*Inputs!F5</x:f>
        <x:v>7920</x:v>
      </x:c>
      <x:c r="F55" t="n">
        <x:f>MIN(C55,Inputs!$B$13)*Inputs!$B$14+MAX(0,C55-Inputs!$B$13)*Inputs!$B$15</x:f>
        <x:v>27114.21633739454</x:v>
      </x:c>
      <x:c r="G55" t="n">
        <x:f>E55+F55-E54-F54</x:f>
        <x:v>1588.605620012033</x:v>
      </x:c>
      <x:c r="H55" t="n">
        <x:f>Inputs!D5-G55</x:f>
        <x:v>505.3943799879671</x:v>
      </x:c>
    </x:row>
    <x:row r="56">
      <x:c r="A56" t="str">
        <x:v>Carrots</x:v>
      </x:c>
      <x:c r="B56" t="n">
        <x:v>19</x:v>
      </x:c>
      <x:c r="C56" t="n">
        <x:f>B56*Inputs!E5*Inputs!$B$10*(1+Inputs!G5)^B56</x:f>
        <x:v>910.866113577697</x:v>
      </x:c>
      <x:c r="D56" t="n">
        <x:f>B56*Inputs!D5</x:f>
        <x:v>39786</x:v>
      </x:c>
      <x:c r="E56" t="n">
        <x:f>B56*Inputs!F5</x:f>
        <x:v>8360</x:v>
      </x:c>
      <x:c r="F56" t="n">
        <x:f>MIN(C56,Inputs!$B$13)*Inputs!$B$14+MAX(0,C56-Inputs!$B$13)*Inputs!$B$15</x:f>
        <x:v>28311.835731708816</x:v>
      </x:c>
      <x:c r="G56" t="n">
        <x:f>E56+F56-E55-F55</x:f>
        <x:v>1637.6193943142753</x:v>
      </x:c>
      <x:c r="H56" t="n">
        <x:f>Inputs!D5-G56</x:f>
        <x:v>456.38060568572473</x:v>
      </x:c>
    </x:row>
    <x:row r="57">
      <x:c r="A57" t="str">
        <x:v>Carrots</x:v>
      </x:c>
      <x:c r="B57" t="n">
        <x:v>20</x:v>
      </x:c>
      <x:c r="C57" t="n">
        <x:f>B57*Inputs!E5*Inputs!$B$10*(1+Inputs!G5)^B57</x:f>
        <x:v>982.7765962285677</x:v>
      </x:c>
      <x:c r="D57" t="n">
        <x:f>B57*Inputs!D5</x:f>
        <x:v>41880</x:v>
      </x:c>
      <x:c r="E57" t="n">
        <x:f>B57*Inputs!F5</x:f>
        <x:v>8800</x:v>
      </x:c>
      <x:c r="F57" t="n">
        <x:f>MIN(C57,Inputs!$B$13)*Inputs!$B$14+MAX(0,C57-Inputs!$B$13)*Inputs!$B$15</x:f>
        <x:v>29560.20171052793</x:v>
      </x:c>
      <x:c r="G57" t="n">
        <x:f>E57+F57-E56-F56</x:f>
        <x:v>1688.3659788191144</x:v>
      </x:c>
      <x:c r="H57" t="n">
        <x:f>Inputs!D5-G57</x:f>
        <x:v>405.6340211808856</x:v>
      </x:c>
    </x:row>
    <x:row r="70">
      <x:c r="A70" t="str">
        <x:v>Mesclun</x:v>
      </x:c>
      <x:c r="B70" t="n">
        <x:v>0</x:v>
      </x:c>
      <x:c r="C70" t="n">
        <x:f>B70*Inputs!E6*Inputs!$B$10*(1+Inputs!G6)^B70</x:f>
        <x:v>0</x:v>
      </x:c>
      <x:c r="D70" t="n">
        <x:f>B70*Inputs!D6</x:f>
        <x:v>0</x:v>
      </x:c>
      <x:c r="E70" t="n">
        <x:f>B70*Inputs!F6</x:f>
        <x:v>0</x:v>
      </x:c>
      <x:c r="F70" t="n">
        <x:f>MIN(C70,Inputs!$B$13)*Inputs!$B$14+MAX(0,C70-Inputs!$B$13)*Inputs!$B$15</x:f>
        <x:v>0</x:v>
      </x:c>
    </x:row>
    <x:row r="71">
      <x:c r="A71" t="str">
        <x:v>Mesclun</x:v>
      </x:c>
      <x:c r="B71" t="n">
        <x:v>1</x:v>
      </x:c>
      <x:c r="C71" t="n">
        <x:f>B71*Inputs!E6*Inputs!$B$10*(1+Inputs!G6)^B71</x:f>
        <x:v>45.5625</x:v>
      </x:c>
      <x:c r="D71" t="n">
        <x:f>B71*Inputs!D6</x:f>
        <x:v>2700</x:v>
      </x:c>
      <x:c r="E71" t="n">
        <x:f>B71*Inputs!F6</x:f>
        <x:v>880</x:v>
      </x:c>
      <x:c r="F71" t="n">
        <x:f>MIN(C71,Inputs!$B$13)*Inputs!$B$14+MAX(0,C71-Inputs!$B$13)*Inputs!$B$15</x:f>
        <x:v>1581.9299999999998</x:v>
      </x:c>
      <x:c r="G71" t="n">
        <x:f>E71+F71-E70-F70</x:f>
        <x:v>2461.93</x:v>
      </x:c>
      <x:c r="H71" t="n">
        <x:f>Inputs!D6-G71</x:f>
        <x:v>238.07000000000016</x:v>
      </x:c>
    </x:row>
    <x:row r="72">
      <x:c r="A72" t="str">
        <x:v>Mesclun</x:v>
      </x:c>
      <x:c r="B72" t="n">
        <x:v>2</x:v>
      </x:c>
      <x:c r="C72" t="n">
        <x:f>B72*Inputs!E6*Inputs!$B$10*(1+Inputs!G6)^B72</x:f>
        <x:v>92.2640625</x:v>
      </x:c>
      <x:c r="D72" t="n">
        <x:f>B72*Inputs!D6</x:f>
        <x:v>5400</x:v>
      </x:c>
      <x:c r="E72" t="n">
        <x:f>B72*Inputs!F6</x:f>
        <x:v>1760</x:v>
      </x:c>
      <x:c r="F72" t="n">
        <x:f>MIN(C72,Inputs!$B$13)*Inputs!$B$14+MAX(0,C72-Inputs!$B$13)*Inputs!$B$15</x:f>
        <x:v>3203.4082499999995</x:v>
      </x:c>
      <x:c r="G72" t="n">
        <x:f>E72+F72-E71-F71</x:f>
        <x:v>2501.4782499999997</x:v>
      </x:c>
      <x:c r="H72" t="n">
        <x:f>Inputs!D6-G72</x:f>
        <x:v>198.52175000000034</x:v>
      </x:c>
    </x:row>
    <x:row r="73">
      <x:c r="A73" t="str">
        <x:v>Mesclun</x:v>
      </x:c>
      <x:c r="B73" t="n">
        <x:v>3</x:v>
      </x:c>
      <x:c r="C73" t="n">
        <x:f>B73*Inputs!E6*Inputs!$B$10*(1+Inputs!G6)^B73</x:f>
        <x:v>140.12604492187498</x:v>
      </x:c>
      <x:c r="D73" t="n">
        <x:f>B73*Inputs!D6</x:f>
        <x:v>8100</x:v>
      </x:c>
      <x:c r="E73" t="n">
        <x:f>B73*Inputs!F6</x:f>
        <x:v>2640</x:v>
      </x:c>
      <x:c r="F73" t="n">
        <x:f>MIN(C73,Inputs!$B$13)*Inputs!$B$14+MAX(0,C73-Inputs!$B$13)*Inputs!$B$15</x:f>
        <x:v>4865.176279687499</x:v>
      </x:c>
      <x:c r="G73" t="n">
        <x:f>E73+F73-E72-F72</x:f>
        <x:v>2541.7680296874996</x:v>
      </x:c>
      <x:c r="H73" t="n">
        <x:f>Inputs!D6-G73</x:f>
        <x:v>158.23197031250038</x:v>
      </x:c>
    </x:row>
    <x:row r="74">
      <x:c r="A74" t="str">
        <x:v>Mesclun</x:v>
      </x:c>
      <x:c r="B74" t="n">
        <x:v>4</x:v>
      </x:c>
      <x:c r="C74" t="n">
        <x:f>B74*Inputs!E6*Inputs!$B$10*(1+Inputs!G6)^B74</x:f>
        <x:v>189.17016064453125</x:v>
      </x:c>
      <x:c r="D74" t="n">
        <x:f>B74*Inputs!D6</x:f>
        <x:v>10800</x:v>
      </x:c>
      <x:c r="E74" t="n">
        <x:f>B74*Inputs!F6</x:f>
        <x:v>3520</x:v>
      </x:c>
      <x:c r="F74" t="n">
        <x:f>MIN(C74,Inputs!$B$13)*Inputs!$B$14+MAX(0,C74-Inputs!$B$13)*Inputs!$B$15</x:f>
        <x:v>6567.987977578125</x:v>
      </x:c>
      <x:c r="G74" t="n">
        <x:f>E74+F74-E73-F73</x:f>
        <x:v>2582.8116978906255</x:v>
      </x:c>
      <x:c r="H74" t="n">
        <x:f>Inputs!D6-G74</x:f>
        <x:v>117.18830210937449</x:v>
      </x:c>
    </x:row>
    <x:row r="75">
      <x:c r="A75" t="str">
        <x:v>Mesclun</x:v>
      </x:c>
      <x:c r="B75" t="n">
        <x:v>5</x:v>
      </x:c>
      <x:c r="C75" t="n">
        <x:f>B75*Inputs!E6*Inputs!$B$10*(1+Inputs!G6)^B75</x:f>
        <x:v>239.41848456573481</x:v>
      </x:c>
      <x:c r="D75" t="n">
        <x:f>B75*Inputs!D6</x:f>
        <x:v>13500</x:v>
      </x:c>
      <x:c r="E75" t="n">
        <x:f>B75*Inputs!F6</x:f>
        <x:v>4400</x:v>
      </x:c>
      <x:c r="F75" t="n">
        <x:f>MIN(C75,Inputs!$B$13)*Inputs!$B$14+MAX(0,C75-Inputs!$B$13)*Inputs!$B$15</x:f>
        <x:v>8312.609784122313</x:v>
      </x:c>
      <x:c r="G75" t="n">
        <x:f>E75+F75-E74-F74</x:f>
        <x:v>2624.621806544188</x:v>
      </x:c>
      <x:c r="H75" t="n">
        <x:f>Inputs!D6-G75</x:f>
        <x:v>75.37819345581192</x:v>
      </x:c>
    </x:row>
    <x:row r="76">
      <x:c r="A76" t="str">
        <x:v>Mesclun</x:v>
      </x:c>
      <x:c r="B76" t="n">
        <x:v>6</x:v>
      </x:c>
      <x:c r="C76" t="n">
        <x:f>B76*Inputs!E6*Inputs!$B$10*(1+Inputs!G6)^B76</x:f>
        <x:v>290.89345874736784</x:v>
      </x:c>
      <x:c r="D76" t="n">
        <x:f>B76*Inputs!D6</x:f>
        <x:v>16200</x:v>
      </x:c>
      <x:c r="E76" t="n">
        <x:f>B76*Inputs!F6</x:f>
        <x:v>5280</x:v>
      </x:c>
      <x:c r="F76" t="n">
        <x:f>MIN(C76,Inputs!$B$13)*Inputs!$B$14+MAX(0,C76-Inputs!$B$13)*Inputs!$B$15</x:f>
        <x:v>10099.82088770861</x:v>
      </x:c>
      <x:c r="G76" t="n">
        <x:f>E76+F76-E75-F75</x:f>
        <x:v>2667.211103586298</x:v>
      </x:c>
      <x:c r="H76" t="n">
        <x:f>Inputs!D6-G76</x:f>
        <x:v>32.78889641370188</x:v>
      </x:c>
    </x:row>
    <x:row r="77">
      <x:c r="A77" t="str">
        <x:v>Mesclun</x:v>
      </x:c>
      <x:c r="B77" t="n">
        <x:v>7</x:v>
      </x:c>
      <x:c r="C77" t="n">
        <x:f>B77*Inputs!E6*Inputs!$B$10*(1+Inputs!G6)^B77</x:f>
        <x:v>343.6178981453282</x:v>
      </x:c>
      <x:c r="D77" t="n">
        <x:f>B77*Inputs!D6</x:f>
        <x:v>18900</x:v>
      </x:c>
      <x:c r="E77" t="n">
        <x:f>B77*Inputs!F6</x:f>
        <x:v>6160</x:v>
      </x:c>
      <x:c r="F77" t="n">
        <x:f>MIN(C77,Inputs!$B$13)*Inputs!$B$14+MAX(0,C77-Inputs!$B$13)*Inputs!$B$15</x:f>
        <x:v>11930.413423605794</x:v>
      </x:c>
      <x:c r="G77" t="n">
        <x:f>E77+F77-E76-F76</x:f>
        <x:v>2710.5925358971836</x:v>
      </x:c>
      <x:c r="H77" t="n">
        <x:f>Inputs!D6-G77</x:f>
        <x:v>-10.592535897183552</x:v>
      </x:c>
    </x:row>
    <x:row r="78">
      <x:c r="A78" t="str">
        <x:v>Mesclun</x:v>
      </x:c>
      <x:c r="B78" t="n">
        <x:v>8</x:v>
      </x:c>
      <x:c r="C78" t="n">
        <x:f>B78*Inputs!E6*Inputs!$B$10*(1+Inputs!G6)^B78</x:f>
        <x:v>397.6149964253084</x:v>
      </x:c>
      <x:c r="D78" t="n">
        <x:f>B78*Inputs!D6</x:f>
        <x:v>21600</x:v>
      </x:c>
      <x:c r="E78" t="n">
        <x:f>B78*Inputs!F6</x:f>
        <x:v>7040</x:v>
      </x:c>
      <x:c r="F78" t="n">
        <x:f>MIN(C78,Inputs!$B$13)*Inputs!$B$14+MAX(0,C78-Inputs!$B$13)*Inputs!$B$15</x:f>
        <x:v>13805.192675886707</x:v>
      </x:c>
      <x:c r="G78" t="n">
        <x:f>E78+F78-E77-F77</x:f>
        <x:v>2754.7792522809104</x:v>
      </x:c>
      <x:c r="H78" t="n">
        <x:f>Inputs!D6-G78</x:f>
        <x:v>-54.77925228091044</x:v>
      </x:c>
    </x:row>
    <x:row r="79">
      <x:c r="A79" t="str">
        <x:v>Mesclun</x:v>
      </x:c>
      <x:c r="B79" t="n">
        <x:v>9</x:v>
      </x:c>
      <x:c r="C79" t="n">
        <x:f>B79*Inputs!E6*Inputs!$B$10*(1+Inputs!G6)^B79</x:f>
        <x:v>452.90833186570285</x:v>
      </x:c>
      <x:c r="D79" t="n">
        <x:f>B79*Inputs!D6</x:f>
        <x:v>24300</x:v>
      </x:c>
      <x:c r="E79" t="n">
        <x:f>B79*Inputs!F6</x:f>
        <x:v>7920</x:v>
      </x:c>
      <x:c r="F79" t="n">
        <x:f>MIN(C79,Inputs!$B$13)*Inputs!$B$14+MAX(0,C79-Inputs!$B$13)*Inputs!$B$15</x:f>
        <x:v>15724.977282377202</x:v>
      </x:c>
      <x:c r="G79" t="n">
        <x:f>E79+F79-E78-F78</x:f>
        <x:v>2799.7846064904934</x:v>
      </x:c>
      <x:c r="H79" t="n">
        <x:f>Inputs!D6-G79</x:f>
        <x:v>-99.78460649049339</x:v>
      </x:c>
    </x:row>
    <x:row r="80">
      <x:c r="A80" t="str">
        <x:v>Mesclun</x:v>
      </x:c>
      <x:c r="B80" t="n">
        <x:v>10</x:v>
      </x:c>
      <x:c r="C80" t="n">
        <x:f>B80*Inputs!E6*Inputs!$B$10*(1+Inputs!G6)^B80</x:f>
        <x:v>509.52187334891573</x:v>
      </x:c>
      <x:c r="D80" t="n">
        <x:f>B80*Inputs!D6</x:f>
        <x:v>27000</x:v>
      </x:c>
      <x:c r="E80" t="n">
        <x:f>B80*Inputs!F6</x:f>
        <x:v>8800</x:v>
      </x:c>
      <x:c r="F80" t="n">
        <x:f>MIN(C80,Inputs!$B$13)*Inputs!$B$14+MAX(0,C80-Inputs!$B$13)*Inputs!$B$15</x:f>
        <x:v>17690.599442674353</x:v>
      </x:c>
      <x:c r="G80" t="n">
        <x:f>E80+F80-E79-F79</x:f>
        <x:v>2845.622160297151</x:v>
      </x:c>
      <x:c r="H80" t="n">
        <x:f>Inputs!D6-G80</x:f>
        <x:v>-145.6221602971509</x:v>
      </x:c>
    </x:row>
    <x:row r="81">
      <x:c r="A81" t="str">
        <x:v>Mesclun</x:v>
      </x:c>
      <x:c r="B81" t="n">
        <x:v>11</x:v>
      </x:c>
      <x:c r="C81" t="n">
        <x:f>B81*Inputs!E6*Inputs!$B$10*(1+Inputs!G6)^B81</x:f>
        <x:v>567.4799864423547</x:v>
      </x:c>
      <x:c r="D81" t="n">
        <x:f>B81*Inputs!D6</x:f>
        <x:v>29700</x:v>
      </x:c>
      <x:c r="E81" t="n">
        <x:f>B81*Inputs!F6</x:f>
        <x:v>9680</x:v>
      </x:c>
      <x:c r="F81" t="n">
        <x:f>MIN(C81,Inputs!$B$13)*Inputs!$B$14+MAX(0,C81-Inputs!$B$13)*Inputs!$B$15</x:f>
        <x:v>19702.905129278555</x:v>
      </x:c>
      <x:c r="G81" t="n">
        <x:f>E81+F81-E80-F80</x:f>
        <x:v>2892.3056866042025</x:v>
      </x:c>
      <x:c r="H81" t="n">
        <x:f>Inputs!D6-G81</x:f>
        <x:v>-192.3056866042025</x:v>
      </x:c>
    </x:row>
    <x:row r="82">
      <x:c r="A82" t="str">
        <x:v>Mesclun</x:v>
      </x:c>
      <x:c r="B82" t="n">
        <x:v>12</x:v>
      </x:c>
      <x:c r="C82" t="n">
        <x:f>B82*Inputs!E6*Inputs!$B$10*(1+Inputs!G6)^B82</x:f>
        <x:v>626.8074395704192</x:v>
      </x:c>
      <x:c r="D82" t="n">
        <x:f>B82*Inputs!D6</x:f>
        <x:v>32400</x:v>
      </x:c>
      <x:c r="E82" t="n">
        <x:f>B82*Inputs!F6</x:f>
        <x:v>10560</x:v>
      </x:c>
      <x:c r="F82" t="n">
        <x:f>MIN(C82,Inputs!$B$13)*Inputs!$B$14+MAX(0,C82-Inputs!$B$13)*Inputs!$B$15</x:f>
        <x:v>21762.754301884954</x:v>
      </x:c>
      <x:c r="G82" t="n">
        <x:f>E82+F82-E81-F81</x:f>
        <x:v>2939.8491726063985</x:v>
      </x:c>
      <x:c r="H82" t="n">
        <x:f>Inputs!D6-G82</x:f>
        <x:v>-239.8491726063985</x:v>
      </x:c>
    </x:row>
    <x:row r="83">
      <x:c r="A83" t="str">
        <x:v>Mesclun</x:v>
      </x:c>
      <x:c r="B83" t="n">
        <x:v>13</x:v>
      </x:c>
      <x:c r="C83" t="n">
        <x:f>B83*Inputs!E6*Inputs!$B$10*(1+Inputs!G6)^B83</x:f>
        <x:v>687.5294102788034</x:v>
      </x:c>
      <x:c r="D83" t="n">
        <x:f>B83*Inputs!D6</x:f>
        <x:v>35100</x:v>
      </x:c>
      <x:c r="E83" t="n">
        <x:f>B83*Inputs!F6</x:f>
        <x:v>11440</x:v>
      </x:c>
      <x:c r="F83" t="n">
        <x:f>MIN(C83,Inputs!$B$13)*Inputs!$B$14+MAX(0,C83-Inputs!$B$13)*Inputs!$B$15</x:f>
        <x:v>23871.021124880055</x:v>
      </x:c>
      <x:c r="G83" t="n">
        <x:f>E83+F83-E82-F82</x:f>
        <x:v>2988.2668229951014</x:v>
      </x:c>
      <x:c r="H83" t="n">
        <x:f>Inputs!D6-G83</x:f>
        <x:v>-288.2668229951014</x:v>
      </x:c>
    </x:row>
    <x:row r="84">
      <x:c r="A84" t="str">
        <x:v>Mesclun</x:v>
      </x:c>
      <x:c r="B84" t="n">
        <x:v>14</x:v>
      </x:c>
      <x:c r="C84" t="n">
        <x:f>B84*Inputs!E6*Inputs!$B$10*(1+Inputs!G6)^B84</x:f>
        <x:v>749.6714915924647</x:v>
      </x:c>
      <x:c r="D84" t="n">
        <x:f>B84*Inputs!D6</x:f>
        <x:v>37800</x:v>
      </x:c>
      <x:c r="E84" t="n">
        <x:f>B84*Inputs!F6</x:f>
        <x:v>12320</x:v>
      </x:c>
      <x:c r="F84" t="n">
        <x:f>MIN(C84,Inputs!$B$13)*Inputs!$B$14+MAX(0,C84-Inputs!$B$13)*Inputs!$B$15</x:f>
        <x:v>25513.497094045186</x:v>
      </x:c>
      <x:c r="G84" t="n">
        <x:f>E84+F84-E83-F83</x:f>
        <x:v>2522.4759691651343</x:v>
      </x:c>
      <x:c r="H84" t="n">
        <x:f>Inputs!D6-G84</x:f>
        <x:v>177.5240308348657</x:v>
      </x:c>
    </x:row>
    <x:row r="85">
      <x:c r="A85" t="str">
        <x:v>Mesclun</x:v>
      </x:c>
      <x:c r="B85" t="n">
        <x:v>15</x:v>
      </x:c>
      <x:c r="C85" t="n">
        <x:f>B85*Inputs!E6*Inputs!$B$10*(1+Inputs!G6)^B85</x:f>
        <x:v>813.2596984686111</x:v>
      </x:c>
      <x:c r="D85" t="n">
        <x:f>B85*Inputs!D6</x:f>
        <x:v>40500</x:v>
      </x:c>
      <x:c r="E85" t="n">
        <x:f>B85*Inputs!F6</x:f>
        <x:v>13200</x:v>
      </x:c>
      <x:c r="F85" t="n">
        <x:f>MIN(C85,Inputs!$B$13)*Inputs!$B$14+MAX(0,C85-Inputs!$B$13)*Inputs!$B$15</x:f>
        <x:v>26617.388365415085</x:v>
      </x:c>
      <x:c r="G85" t="n">
        <x:f>E85+F85-E84-F84</x:f>
        <x:v>1983.8912713698992</x:v>
      </x:c>
      <x:c r="H85" t="n">
        <x:f>Inputs!D6-G85</x:f>
        <x:v>716.1087286301008</x:v>
      </x:c>
    </x:row>
    <x:row r="86">
      <x:c r="A86" t="str">
        <x:v>Mesclun</x:v>
      </x:c>
      <x:c r="B86" t="n">
        <x:v>16</x:v>
      </x:c>
      <x:c r="C86" t="n">
        <x:f>B86*Inputs!E6*Inputs!$B$10*(1+Inputs!G6)^B86</x:f>
        <x:v>878.3204743461001</x:v>
      </x:c>
      <x:c r="D86" t="n">
        <x:f>B86*Inputs!D6</x:f>
        <x:v>43200</x:v>
      </x:c>
      <x:c r="E86" t="n">
        <x:f>B86*Inputs!F6</x:f>
        <x:v>14080</x:v>
      </x:c>
      <x:c r="F86" t="n">
        <x:f>MIN(C86,Inputs!$B$13)*Inputs!$B$14+MAX(0,C86-Inputs!$B$13)*Inputs!$B$15</x:f>
        <x:v>27746.843434648297</x:v>
      </x:c>
      <x:c r="G86" t="n">
        <x:f>E86+F86-E85-F85</x:f>
        <x:v>2009.4550692332123</x:v>
      </x:c>
      <x:c r="H86" t="n">
        <x:f>Inputs!D6-G86</x:f>
        <x:v>690.5449307667877</x:v>
      </x:c>
    </x:row>
    <x:row r="87">
      <x:c r="A87" t="str">
        <x:v>Mesclun</x:v>
      </x:c>
      <x:c r="B87" t="n">
        <x:v>17</x:v>
      </x:c>
      <x:c r="C87" t="n">
        <x:f>B87*Inputs!E6*Inputs!$B$10*(1+Inputs!G6)^B87</x:f>
        <x:v>944.8806977926405</x:v>
      </x:c>
      <x:c r="D87" t="n">
        <x:f>B87*Inputs!D6</x:f>
        <x:v>45900</x:v>
      </x:c>
      <x:c r="E87" t="n">
        <x:f>B87*Inputs!F6</x:f>
        <x:v>14960</x:v>
      </x:c>
      <x:c r="F87" t="n">
        <x:f>MIN(C87,Inputs!$B$13)*Inputs!$B$14+MAX(0,C87-Inputs!$B$13)*Inputs!$B$15</x:f>
        <x:v>28902.328913680238</x:v>
      </x:c>
      <x:c r="G87" t="n">
        <x:f>E87+F87-E86-F86</x:f>
        <x:v>2035.4854790319368</x:v>
      </x:c>
      <x:c r="H87" t="n">
        <x:f>Inputs!D6-G87</x:f>
        <x:v>664.5145209680632</x:v>
      </x:c>
    </x:row>
    <x:row r="88">
      <x:c r="A88" t="str">
        <x:v>Mesclun</x:v>
      </x:c>
      <x:c r="B88" t="n">
        <x:v>18</x:v>
      </x:c>
      <x:c r="C88" t="n">
        <x:f>B88*Inputs!E6*Inputs!$B$10*(1+Inputs!G6)^B88</x:f>
        <x:v>1012.9676892512279</x:v>
      </x:c>
      <x:c r="D88" t="n">
        <x:f>B88*Inputs!D6</x:f>
        <x:v>48600</x:v>
      </x:c>
      <x:c r="E88" t="n">
        <x:f>B88*Inputs!F6</x:f>
        <x:v>15840</x:v>
      </x:c>
      <x:c r="F88" t="n">
        <x:f>MIN(C88,Inputs!$B$13)*Inputs!$B$14+MAX(0,C88-Inputs!$B$13)*Inputs!$B$15</x:f>
        <x:v>30084.319085401312</x:v>
      </x:c>
      <x:c r="G88" t="n">
        <x:f>E88+F88-E87-F87</x:f>
        <x:v>2061.9901717210705</x:v>
      </x:c>
      <x:c r="H88" t="n">
        <x:f>Inputs!D6-G88</x:f>
        <x:v>638.0098282789295</x:v>
      </x:c>
    </x:row>
    <x:row r="89">
      <x:c r="A89" t="str">
        <x:v>Mesclun</x:v>
      </x:c>
      <x:c r="B89" t="n">
        <x:v>19</x:v>
      </x:c>
      <x:c r="C89" t="n">
        <x:f>B89*Inputs!E6*Inputs!$B$10*(1+Inputs!G6)^B89</x:f>
        <x:v>1082.6092178872495</x:v>
      </x:c>
      <x:c r="D89" t="n">
        <x:f>B89*Inputs!D6</x:f>
        <x:v>51300</x:v>
      </x:c>
      <x:c r="E89" t="n">
        <x:f>B89*Inputs!F6</x:f>
        <x:v>16720</x:v>
      </x:c>
      <x:c r="F89" t="n">
        <x:f>MIN(C89,Inputs!$B$13)*Inputs!$B$14+MAX(0,C89-Inputs!$B$13)*Inputs!$B$15</x:f>
        <x:v>31293.29602252265</x:v>
      </x:c>
      <x:c r="G89" t="n">
        <x:f>E89+F89-E88-F88</x:f>
        <x:v>2088.976937121337</x:v>
      </x:c>
      <x:c r="H89" t="n">
        <x:f>Inputs!D6-G89</x:f>
        <x:v>611.023062878663</x:v>
      </x:c>
    </x:row>
    <x:row r="90">
      <x:c r="A90" t="str">
        <x:v>Mesclun</x:v>
      </x:c>
      <x:c r="B90" t="n">
        <x:v>20</x:v>
      </x:c>
      <x:c r="C90" t="n">
        <x:f>B90*Inputs!E6*Inputs!$B$10*(1+Inputs!G6)^B90</x:f>
        <x:v>1153.8335085377266</x:v>
      </x:c>
      <x:c r="D90" t="n">
        <x:f>B90*Inputs!D6</x:f>
        <x:v>54000</x:v>
      </x:c>
      <x:c r="E90" t="n">
        <x:f>B90*Inputs!F6</x:f>
        <x:v>17600</x:v>
      </x:c>
      <x:c r="F90" t="n">
        <x:f>MIN(C90,Inputs!$B$13)*Inputs!$B$14+MAX(0,C90-Inputs!$B$13)*Inputs!$B$15</x:f>
        <x:v>32529.74970821493</x:v>
      </x:c>
      <x:c r="G90" t="n">
        <x:f>E90+F90-E89-F89</x:f>
        <x:v>2116.453685692286</x:v>
      </x:c>
      <x:c r="H90" t="n">
        <x:f>Inputs!D6-G90</x:f>
        <x:v>583.546314307714</x:v>
      </x:c>
    </x:row>
    <x:row r="91">
      <x:c r="A91" t="str">
        <x:v>Mesclun</x:v>
      </x:c>
      <x:c r="B91" t="n">
        <x:v>21</x:v>
      </x:c>
      <x:c r="C91" t="n">
        <x:f>B91*Inputs!E6*Inputs!$B$10*(1+Inputs!G6)^B91</x:f>
        <x:v>1226.6692487641703</x:v>
      </x:c>
      <x:c r="D91" t="n">
        <x:f>B91*Inputs!D6</x:f>
        <x:v>56700</x:v>
      </x:c>
      <x:c r="E91" t="n">
        <x:f>B91*Inputs!F6</x:f>
        <x:v>18480</x:v>
      </x:c>
      <x:c r="F91" t="n">
        <x:f>MIN(C91,Inputs!$B$13)*Inputs!$B$14+MAX(0,C91-Inputs!$B$13)*Inputs!$B$15</x:f>
        <x:v>33794.178158546</x:v>
      </x:c>
      <x:c r="G91" t="n">
        <x:f>E91+F91-E90-F90</x:f>
        <x:v>2144.4284503310664</x:v>
      </x:c>
      <x:c r="H91" t="n">
        <x:f>Inputs!D6-G91</x:f>
        <x:v>555.5715496689336</x:v>
      </x:c>
    </x:row>
    <x:row r="92">
      <x:c r="A92" t="str">
        <x:v>Mesclun</x:v>
      </x:c>
      <x:c r="B92" t="n">
        <x:v>22</x:v>
      </x:c>
      <x:c r="C92" t="n">
        <x:f>B92*Inputs!E6*Inputs!$B$10*(1+Inputs!G6)^B92</x:f>
        <x:v>1301.1455960105666</x:v>
      </x:c>
      <x:c r="D92" t="n">
        <x:f>B92*Inputs!D6</x:f>
        <x:v>59400</x:v>
      </x:c>
      <x:c r="E92" t="n">
        <x:f>B92*Inputs!F6</x:f>
        <x:v>19360</x:v>
      </x:c>
      <x:c r="F92" t="n">
        <x:f>MIN(C92,Inputs!$B$13)*Inputs!$B$14+MAX(0,C92-Inputs!$B$13)*Inputs!$B$15</x:f>
        <x:v>35087.08754674343</x:v>
      </x:c>
      <x:c r="G92" t="n">
        <x:f>E92+F92-E91-F91</x:f>
        <x:v>2172.909388197433</x:v>
      </x:c>
      <x:c r="H92" t="n">
        <x:f>Inputs!D6-G92</x:f>
        <x:v>527.0906118025669</x:v>
      </x:c>
    </x:row>
    <x:row r="93">
      <x:c r="A93" t="str">
        <x:v>Mesclun</x:v>
      </x:c>
      <x:c r="B93" t="n">
        <x:v>23</x:v>
      </x:c>
      <x:c r="C93" t="n">
        <x:f>B93*Inputs!E6*Inputs!$B$10*(1+Inputs!G6)^B93</x:f>
        <x:v>1377.292184868003</x:v>
      </x:c>
      <x:c r="D93" t="n">
        <x:f>B93*Inputs!D6</x:f>
        <x:v>62100</x:v>
      </x:c>
      <x:c r="E93" t="n">
        <x:f>B93*Inputs!F6</x:f>
        <x:v>20240</x:v>
      </x:c>
      <x:c r="F93" t="n">
        <x:f>MIN(C93,Inputs!$B$13)*Inputs!$B$14+MAX(0,C93-Inputs!$B$13)*Inputs!$B$15</x:f>
        <x:v>36408.99232930853</x:v>
      </x:c>
      <x:c r="G93" t="n">
        <x:f>E93+F93-E92-F92</x:f>
        <x:v>2201.9047825650996</x:v>
      </x:c>
      <x:c r="H93" t="n">
        <x:f>Inputs!D6-G93</x:f>
        <x:v>498.0952174349004</x:v>
      </x:c>
    </x:row>
    <x:row r="94">
      <x:c r="A94" t="str">
        <x:v>Mesclun</x:v>
      </x:c>
      <x:c r="B94" t="n">
        <x:v>24</x:v>
      </x:c>
      <x:c r="C94" t="n">
        <x:f>B94*Inputs!E6*Inputs!$B$10*(1+Inputs!G6)^B94</x:f>
        <x:v>1455.139134447499</x:v>
      </x:c>
      <x:c r="D94" t="n">
        <x:f>B94*Inputs!D6</x:f>
        <x:v>64800</x:v>
      </x:c>
      <x:c r="E94" t="n">
        <x:f>B94*Inputs!F6</x:f>
        <x:v>21120</x:v>
      </x:c>
      <x:c r="F94" t="n">
        <x:f>MIN(C94,Inputs!$B$13)*Inputs!$B$14+MAX(0,C94-Inputs!$B$13)*Inputs!$B$15</x:f>
        <x:v>37760.415374008575</x:v>
      </x:c>
      <x:c r="G94" t="n">
        <x:f>E94+F94-E93-F93</x:f>
        <x:v>2231.4230447000446</x:v>
      </x:c>
      <x:c r="H94" t="n">
        <x:f>Inputs!D6-G94</x:f>
        <x:v>468.57695529995544</x:v>
      </x:c>
    </x:row>
    <x:row r="95">
      <x:c r="A95" t="str">
        <x:v>Mesclun</x:v>
      </x:c>
      <x:c r="B95" t="n">
        <x:v>25</x:v>
      </x:c>
      <x:c r="C95" t="n">
        <x:f>B95*Inputs!E6*Inputs!$B$10*(1+Inputs!G6)^B95</x:f>
        <x:v>1534.7170558625965</x:v>
      </x:c>
      <x:c r="D95" t="n">
        <x:f>B95*Inputs!D6</x:f>
        <x:v>67500</x:v>
      </x:c>
      <x:c r="E95" t="n">
        <x:f>B95*Inputs!F6</x:f>
        <x:v>22000</x:v>
      </x:c>
      <x:c r="F95" t="n">
        <x:f>MIN(C95,Inputs!$B$13)*Inputs!$B$14+MAX(0,C95-Inputs!$B$13)*Inputs!$B$15</x:f>
        <x:v>39141.88808977467</x:v>
      </x:c>
      <x:c r="G95" t="n">
        <x:f>E95+F95-E94-F94</x:f>
        <x:v>2261.4727157660964</x:v>
      </x:c>
      <x:c r="H95" t="n">
        <x:f>Inputs!D6-G95</x:f>
        <x:v>438.52728423390363</x:v>
      </x:c>
    </x:row>
    <x:row r="96">
      <x:c r="A96" t="str">
        <x:v>Mesclun</x:v>
      </x:c>
      <x:c r="B96" t="n">
        <x:v>26</x:v>
      </x:c>
      <x:c r="C96" t="n">
        <x:f>B96*Inputs!E6*Inputs!$B$10*(1+Inputs!G6)^B96</x:f>
        <x:v>1616.0570598233144</x:v>
      </x:c>
      <x:c r="D96" t="n">
        <x:f>B96*Inputs!D6</x:f>
        <x:v>70200</x:v>
      </x:c>
      <x:c r="E96" t="n">
        <x:f>B96*Inputs!F6</x:f>
        <x:v>22880</x:v>
      </x:c>
      <x:c r="F96" t="n">
        <x:f>MIN(C96,Inputs!$B$13)*Inputs!$B$14+MAX(0,C96-Inputs!$B$13)*Inputs!$B$15</x:f>
        <x:v>40553.950558532735</x:v>
      </x:c>
      <x:c r="G96" t="n">
        <x:f>E96+F96-E95-F95</x:f>
        <x:v>2292.062468758064</x:v>
      </x:c>
      <x:c r="H96" t="n">
        <x:f>Inputs!D6-G96</x:f>
        <x:v>407.9375312419361</x:v>
      </x:c>
    </x:row>
    <x:row r="97">
      <x:c r="A97" t="str">
        <x:v>Mesclun</x:v>
      </x:c>
      <x:c r="B97" t="n">
        <x:v>27</x:v>
      </x:c>
      <x:c r="C97" t="n">
        <x:f>B97*Inputs!E6*Inputs!$B$10*(1+Inputs!G6)^B97</x:f>
        <x:v>1699.190764343071</x:v>
      </x:c>
      <x:c r="D97" t="n">
        <x:f>B97*Inputs!D6</x:f>
        <x:v>72900</x:v>
      </x:c>
      <x:c r="E97" t="n">
        <x:f>B97*Inputs!F6</x:f>
        <x:v>23760</x:v>
      </x:c>
      <x:c r="F97" t="n">
        <x:f>MIN(C97,Inputs!$B$13)*Inputs!$B$14+MAX(0,C97-Inputs!$B$13)*Inputs!$B$15</x:f>
        <x:v>41997.151668995706</x:v>
      </x:c>
      <x:c r="G97" t="n">
        <x:f>E97+F97-E96-F96</x:f>
        <x:v>2323.201110462971</x:v>
      </x:c>
      <x:c r="H97" t="n">
        <x:f>Inputs!D6-G97</x:f>
        <x:v>376.798889537029</x:v>
      </x:c>
    </x:row>
    <x:row r="98">
      <x:c r="A98" t="str">
        <x:v>Mesclun</x:v>
      </x:c>
      <x:c r="B98" t="n">
        <x:v>28</x:v>
      </x:c>
      <x:c r="C98" t="n">
        <x:f>B98*Inputs!E6*Inputs!$B$10*(1+Inputs!G6)^B98</x:f>
        <x:v>1784.1503025602246</x:v>
      </x:c>
      <x:c r="D98" t="n">
        <x:f>B98*Inputs!D6</x:f>
        <x:v>75600</x:v>
      </x:c>
      <x:c r="E98" t="n">
        <x:f>B98*Inputs!F6</x:f>
        <x:v>24640</x:v>
      </x:c>
      <x:c r="F98" t="n">
        <x:f>MIN(C98,Inputs!$B$13)*Inputs!$B$14+MAX(0,C98-Inputs!$B$13)*Inputs!$B$15</x:f>
        <x:v>43472.0492524455</x:v>
      </x:c>
      <x:c r="G98" t="n">
        <x:f>E98+F98-E97-F97</x:f>
        <x:v>2354.8975834497833</x:v>
      </x:c>
      <x:c r="H98" t="n">
        <x:f>Inputs!D6-G98</x:f>
        <x:v>345.10241655021673</x:v>
      </x:c>
    </x:row>
    <x:row r="99">
      <x:c r="A99" t="str">
        <x:v>Mesclun</x:v>
      </x:c>
      <x:c r="B99" t="n">
        <x:v>29</x:v>
      </x:c>
      <x:c r="C99" t="n">
        <x:f>B99*Inputs!E6*Inputs!$B$10*(1+Inputs!G6)^B99</x:f>
        <x:v>1870.9683306758782</x:v>
      </x:c>
      <x:c r="D99" t="n">
        <x:f>B99*Inputs!D6</x:f>
        <x:v>78300</x:v>
      </x:c>
      <x:c r="E99" t="n">
        <x:f>B99*Inputs!F6</x:f>
        <x:v>25520</x:v>
      </x:c>
      <x:c r="F99" t="n">
        <x:f>MIN(C99,Inputs!$B$13)*Inputs!$B$14+MAX(0,C99-Inputs!$B$13)*Inputs!$B$15</x:f>
        <x:v>44979.21022053324</x:v>
      </x:c>
      <x:c r="G99" t="n">
        <x:f>E99+F99-E98-F98</x:f>
        <x:v>2387.160968087752</x:v>
      </x:c>
      <x:c r="H99" t="n">
        <x:f>Inputs!D6-G99</x:f>
        <x:v>312.8390319122482</x:v>
      </x:c>
    </x:row>
    <x:row r="100">
      <x:c r="A100" t="str">
        <x:v>Mesclun</x:v>
      </x:c>
      <x:c r="B100" t="n">
        <x:v>30</x:v>
      </x:c>
      <x:c r="C100" t="n">
        <x:f>B100*Inputs!E6*Inputs!$B$10*(1+Inputs!G6)^B100</x:f>
        <x:v>1959.6780360096488</x:v>
      </x:c>
      <x:c r="D100" t="n">
        <x:f>B100*Inputs!D6</x:f>
        <x:v>81000</x:v>
      </x:c>
      <x:c r="E100" t="n">
        <x:f>B100*Inputs!F6</x:f>
        <x:v>26400</x:v>
      </x:c>
      <x:c r="F100" t="n">
        <x:f>MIN(C100,Inputs!$B$13)*Inputs!$B$14+MAX(0,C100-Inputs!$B$13)*Inputs!$B$15</x:f>
        <x:v>46519.2107051275</x:v>
      </x:c>
      <x:c r="G100" t="n">
        <x:f>E100+F100-E99-F99</x:f>
        <x:v>2420.0004845942676</x:v>
      </x:c>
      <x:c r="H100" t="n">
        <x:f>Inputs!D6-G100</x:f>
        <x:v>279.9995154057324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FARM MODEL | OPTIMIZATION</x:v>
      </x:c>
      <x:c r="B1" s="3"/>
      <x:c r="C1" s="3"/>
      <x:c r="D1" s="3"/>
      <x:c r="E1" s="3"/>
      <x:c r="F1" s="3"/>
      <x:c r="G1" s="3"/>
      <x:c r="H1" s="3"/>
    </x:row>
    <x:row r="3" ht="25" customHeight="1">
      <x:c r="A3" s="19" t="str">
        <x:v>Decision variable</x:v>
      </x:c>
      <x:c r="B3" s="19" t="str">
        <x:v>Beds</x:v>
      </x:c>
      <x:c r="C3" s="19"/>
      <x:c r="D3" s="19"/>
      <x:c r="E3" s="19"/>
      <x:c r="F3" s="19"/>
      <x:c r="G3" s="19"/>
      <x:c r="H3" s="19"/>
    </x:row>
    <x:row r="4">
      <x:c r="A4" t="str">
        <x:v>Tomatoes</x:v>
      </x:c>
      <x:c r="B4" t="n">
        <x:f>Inputs!B4</x:f>
        <x:v>18</x:v>
      </x:c>
    </x:row>
    <x:row r="5">
      <x:c r="A5" t="str">
        <x:v>Carrots</x:v>
      </x:c>
      <x:c r="B5" t="n">
        <x:f>Inputs!B5</x:f>
        <x:v>18</x:v>
      </x:c>
    </x:row>
    <x:row r="6">
      <x:c r="A6" t="str">
        <x:v>Mesclun</x:v>
      </x:c>
      <x:c r="B6" t="n">
        <x:f>Inputs!B6</x:f>
        <x:v>25</x:v>
      </x:c>
    </x:row>
    <x:row r="8">
      <x:c r="A8" t="str">
        <x:v>Season profit ($)</x:v>
      </x:c>
      <x:c r="B8" t="n">
        <x:f>'Cost Structure'!B19</x:f>
        <x:v>-12287.571017974115</x:v>
      </x:c>
    </x:row>
    <x:row r="9">
      <x:c r="A9" t="str">
        <x:v>Total beds</x:v>
      </x:c>
      <x:c r="B9" t="n">
        <x:f>'Cost Structure'!B8</x:f>
        <x:v>61</x:v>
      </x:c>
    </x:row>
    <x:row r="10">
      <x:c r="A10" t="str">
        <x:v>Total labor hours</x:v>
      </x:c>
      <x:c r="B10" t="n">
        <x:f>'Cost Structure'!B11</x:f>
        <x:v>11383.661924998509</x:v>
      </x:c>
    </x:row>
    <x:row r="11">
      <x:c r="A11" t="str">
        <x:v>Beds available</x:v>
      </x:c>
      <x:c r="B11" t="n">
        <x:f>Inputs!B12</x:f>
        <x:v>64</x:v>
      </x:c>
    </x:row>
    <x:row r="12">
      <x:c r="A12" t="str">
        <x:v>Labor available</x:v>
      </x:c>
      <x:c r="B12" t="n">
        <x:f>'Cost Structure'!B20</x:f>
        <x:v>6480</x:v>
      </x:c>
    </x:row>
    <x:row r="13">
      <x:c r="A13" t="str">
        <x:v>Beds remaining</x:v>
      </x:c>
      <x:c r="B13" t="n">
        <x:f>B11-B9</x:f>
        <x:v>3</x:v>
      </x:c>
    </x:row>
    <x:row r="14">
      <x:c r="A14" t="str">
        <x:v>Labor remaining</x:v>
      </x:c>
      <x:c r="B14" t="n">
        <x:f>B12-B10</x:f>
        <x:v>-4903.661924998509</x:v>
      </x:c>
    </x:row>
    <x:row r="15">
      <x:c r="A15" t="str">
        <x:v>Crop caps met</x:v>
      </x:c>
      <x:c r="B15" t="str">
        <x:f>IF(AND(B4&lt;=Inputs!C4,B5&lt;=Inputs!C5,B6&lt;=Inputs!C6),"PASS","FAIL")</x:f>
        <x:v>PASS</x:v>
      </x:c>
    </x:row>
    <x:row r="16">
      <x:c r="A16" t="str">
        <x:v>Overall feasibility</x:v>
      </x:c>
      <x:c r="B16" t="str">
        <x:f>IF(AND(B13&gt;=0,B14&gt;=0,B15="PASS",MIN(B4:B6)&gt;=0),"FEASIBLE","INFEASIBLE")</x:f>
        <x:v>INFEASIBLE</x:v>
      </x:c>
    </x:row>
    <x:row r="19">
      <x:c r="A19" t="str">
        <x:v>Solver objective: Cost Structure!B19 (maximize)</x:v>
      </x:c>
    </x:row>
    <x:row r="20">
      <x:c r="A20" t="str">
        <x:v>Changing cells: Inputs!B4:B6</x:v>
      </x:c>
    </x:row>
    <x:row r="21">
      <x:c r="A21" t="str">
        <x:v>Constraints: total beds &lt;=64; labor &lt;=6480; crop caps; nonnegative integers</x:v>
      </x:c>
    </x:row>
    <x:row r="22">
      <x:c r="A22" t="str">
        <x:v>Use GRG Nonlinear, test starts 0/0/0 and 20/0/0; record results in Audit.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3" hidden="0" customWidth="1"/>
    <x:col min="3" max="3" width="65" hidden="0" customWidth="1"/>
    <x:col min="4" max="4" width="19" hidden="0" customWidth="1"/>
  </x:cols>
  <x:sheetData>
    <x:row r="1" ht="32" customHeight="1">
      <x:c r="A1" s="3" t="str">
        <x:v>FARM MODEL | AUDIT</x:v>
      </x:c>
      <x:c r="B1" s="3"/>
      <x:c r="C1" s="3"/>
      <x:c r="D1" s="3"/>
      <x:c r="E1" s="3"/>
      <x:c r="F1" s="3"/>
      <x:c r="G1" s="3"/>
      <x:c r="H1" s="3"/>
    </x:row>
    <x:row r="3" ht="25" customHeight="1">
      <x:c r="A3" s="19" t="str">
        <x:v>Check</x:v>
      </x:c>
      <x:c r="B3" s="19" t="str">
        <x:v>Formula result</x:v>
      </x:c>
      <x:c r="C3" s="19" t="str">
        <x:v>Expected / interpretation</x:v>
      </x:c>
      <x:c r="D3" s="19"/>
      <x:c r="E3" s="19"/>
      <x:c r="F3" s="19"/>
      <x:c r="G3" s="19"/>
      <x:c r="H3" s="19"/>
    </x:row>
    <x:row r="4">
      <x:c r="A4" t="str">
        <x:v>One tomato bed hours</x:v>
      </x:c>
      <x:c r="B4" t="n">
        <x:f>'Marginal Cost'!C5</x:f>
        <x:v>99.00000000000001</x:v>
      </x:c>
      <x:c r="C4" t="str">
        <x:v>99 hours</x:v>
      </x:c>
    </x:row>
    <x:row r="5">
      <x:c r="A5" t="str">
        <x:v>Original hypothesis labor (18/18/25)</x:v>
      </x:c>
      <x:c r="B5" t="n">
        <x:f>'Cost Structure'!B11</x:f>
        <x:v>11383.661924998509</x:v>
      </x:c>
      <x:c r="C5" t="str">
        <x:v>Compare to ~11,384 only when inputs 18/18/25</x:v>
      </x:c>
    </x:row>
    <x:row r="6">
      <x:c r="A6" t="str">
        <x:v>Available labor</x:v>
      </x:c>
      <x:c r="B6" t="n">
        <x:f>'Cost Structure'!B20</x:f>
        <x:v>6480</x:v>
      </x:c>
      <x:c r="C6" t="str">
        <x:v>6,480 hours</x:v>
      </x:c>
    </x:row>
    <x:row r="7">
      <x:c r="A7" t="str">
        <x:v>Labor shortfall</x:v>
      </x:c>
      <x:c r="B7" t="n">
        <x:f>MAX(0,'Cost Structure'!B11-'Cost Structure'!B20)</x:f>
        <x:v>4903.661924998509</x:v>
      </x:c>
      <x:c r="C7" t="str">
        <x:v>For original hypothesis, ~4,904 hours</x:v>
      </x:c>
    </x:row>
    <x:row r="8">
      <x:c r="A8" t="str">
        <x:v>Labor allocation balance</x:v>
      </x:c>
      <x:c r="B8" t="n">
        <x:f>'Cost Structure'!B24</x:f>
        <x:v>0</x:v>
      </x:c>
      <x:c r="C8" t="str">
        <x:v>Zero</x:v>
      </x:c>
    </x:row>
    <x:row r="9">
      <x:c r="A9" t="str">
        <x:v>Beds feasible</x:v>
      </x:c>
      <x:c r="B9" t="e">
        <x:f>IF('Optimization'!B13&gt;=0,PASS,FAIL)</x:f>
        <x:v>#NAME?</x:v>
      </x:c>
      <x:c r="C9" t="str">
        <x:v>PASS</x:v>
      </x:c>
    </x:row>
    <x:row r="10">
      <x:c r="A10" t="str">
        <x:v>Labor feasible</x:v>
      </x:c>
      <x:c r="B10" t="e">
        <x:f>IF('Optimization'!B14&gt;=0,PASS,FAIL)</x:f>
        <x:v>#NAME?</x:v>
      </x:c>
      <x:c r="C10" t="str">
        <x:v>PASS</x:v>
      </x:c>
    </x:row>
    <x:row r="11">
      <x:c r="A11" t="str">
        <x:v>Published optimum comparison</x:v>
      </x:c>
      <x:c r="B11" t="e">
        <x:f>IF(AND(Inputs!B4=10,Inputs!B5=20,Inputs!B6=30),MATCH,NOT YET)</x:f>
        <x:v>#NAME?</x:v>
      </x:c>
      <x:c r="C11" t="str">
        <x:v>10/20/30, to be independently tested</x:v>
      </x:c>
    </x:row>
    <x:row r="12">
      <x:c r="A12" t="str">
        <x:v>Profit versus published target</x:v>
      </x:c>
      <x:c r="B12" t="n">
        <x:f>'Cost Structure'!B19-42762</x:f>
        <x:v>-55049.571017974115</x:v>
      </x:c>
      <x:c r="C12" t="str">
        <x:v>Approximately zero at published optimum</x:v>
      </x:c>
    </x:row>
    <x:row r="16">
      <x:c r="A16" t="str">
        <x:v>Solver start 0/0/0</x:v>
      </x:c>
      <x:c r="C16" t="str">
        <x:v>Record observed result after running Solver</x:v>
      </x:c>
    </x:row>
    <x:row r="17">
      <x:c r="A17" t="str">
        <x:v>Solver start 20/0/0</x:v>
      </x:c>
      <x:c r="C17" t="str">
        <x:v>Record observed result after running Solver</x:v>
      </x:c>
    </x:row>
    <x:row r="18">
      <x:c r="A18" t="str">
        <x:v>Farm Profit Lab check</x:v>
      </x:c>
      <x:c r="C18" t="str">
        <x:v>Record independently checked marginal cost</x:v>
      </x:c>
    </x:row>
    <x:row r="19">
      <x:c r="A19" t="str">
        <x:v>Unexpected MC dip</x:v>
      </x:c>
      <x:c r="C19" t="str">
        <x:v>Inspect tomato marginal cost near 6 beds</x:v>
      </x:c>
    </x:row>
    <x:row r="20">
      <x:c r="A20" t="str">
        <x:v>Audit conclusion</x:v>
      </x:c>
      <x:c r="C20" t="str">
        <x:v>Complete only after running checks</x:v>
      </x:c>
    </x:row>
  </x:sheetData>
  <x:pageMargins left="0.7" right="0.7" top="0.75" bottom="0.75" header="0.3" footer="0.3"/>
</x:worksheet>
</file>