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jcbelizaire/Downloads/"/>
    </mc:Choice>
  </mc:AlternateContent>
  <xr:revisionPtr revIDLastSave="0" documentId="13_ncr:1_{94F571C2-DF13-0245-B68B-D5D90ABC3811}" xr6:coauthVersionLast="47" xr6:coauthVersionMax="47" xr10:uidLastSave="{00000000-0000-0000-0000-000000000000}"/>
  <bookViews>
    <workbookView xWindow="10260" yWindow="760" windowWidth="18540" windowHeight="15980" xr2:uid="{00000000-000D-0000-FFFF-FFFF00000000}"/>
  </bookViews>
  <sheets>
    <sheet name="Inputs" sheetId="1" r:id="rId1"/>
    <sheet name="Cost Structure" sheetId="2" r:id="rId2"/>
    <sheet name="Marginal Cost" sheetId="3" r:id="rId3"/>
    <sheet name="Optimization" sheetId="4" r:id="rId4"/>
    <sheet name="Audit" sheetId="5" r:id="rId5"/>
  </sheets>
  <definedNames>
    <definedName name="CAR_BEDS">Inputs!$B$5</definedName>
    <definedName name="CAR_CAP">Inputs!$C$5</definedName>
    <definedName name="CAR_DIM">Inputs!$G$5</definedName>
    <definedName name="CAR_FERT">Inputs!$F$5</definedName>
    <definedName name="CAR_HRS">Inputs!$E$5</definedName>
    <definedName name="FIXED_COST">Inputs!$B$11</definedName>
    <definedName name="HOURS_PER_WEEK">Inputs!$B$18</definedName>
    <definedName name="MAX_TEMP_WORKERS">Inputs!$B$17</definedName>
    <definedName name="MES_BEDS">Inputs!$B$6</definedName>
    <definedName name="MES_CAP">Inputs!$C$6</definedName>
    <definedName name="MES_DIM">Inputs!$G$6</definedName>
    <definedName name="MES_FERT">Inputs!$F$6</definedName>
    <definedName name="MES_HRS">Inputs!$E$6</definedName>
    <definedName name="MES_PRICE">Inputs!$D$6</definedName>
    <definedName name="OWNER_ANNUAL_VALUE">Inputs!$B$20</definedName>
    <definedName name="OWNER_FIELD_SHARE">Inputs!$B$19</definedName>
    <definedName name="OWNER_HRS">Inputs!$B$13</definedName>
    <definedName name="OWNER_RATE">Inputs!$B$14</definedName>
    <definedName name="solver_adj" localSheetId="1" hidden="1">'Cost Structure'!$B$4:$B$6</definedName>
    <definedName name="solver_adj" localSheetId="0" hidden="1">Inputs!$B$4:$B$6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1</definedName>
    <definedName name="solver_eng" localSheetId="1" hidden="1">1</definedName>
    <definedName name="solver_eng" localSheetId="0" hidden="1">3</definedName>
    <definedName name="solver_eng" localSheetId="3" hidden="1">1</definedName>
    <definedName name="solver_est" localSheetId="1" hidden="1">1</definedName>
    <definedName name="solver_itr" localSheetId="1" hidden="1">2147483647</definedName>
    <definedName name="solver_itr" localSheetId="0" hidden="1">2147483647</definedName>
    <definedName name="solver_lhs1" localSheetId="1" hidden="1">'Cost Structure'!$B$13</definedName>
    <definedName name="solver_lhs1" localSheetId="0" hidden="1">Inputs!$B$4:$B$6</definedName>
    <definedName name="solver_lhs1" localSheetId="3" hidden="1">Optimization!$B$10</definedName>
    <definedName name="solver_lhs2" localSheetId="0" hidden="1">Inputs!$B$4:$B$6</definedName>
    <definedName name="solver_lhs2" localSheetId="3" hidden="1">Optimization!$B$9</definedName>
    <definedName name="solver_lhs3" localSheetId="0" hidden="1">Inputs!$J$5</definedName>
    <definedName name="solver_lhs4" localSheetId="0" hidden="1">Inputs!$J$6</definedName>
    <definedName name="solver_lhs5" localSheetId="0" hidden="1">Inputs!$J$7</definedName>
    <definedName name="solver_lhs6" localSheetId="0" hidden="1">Inputs!$B$5</definedName>
    <definedName name="solver_lhs7" localSheetId="0" hidden="1">Inputs!$B$6</definedName>
    <definedName name="solver_lhs8" localSheetId="0" hidden="1">Inputs!$B$4</definedName>
    <definedName name="solver_lin" localSheetId="0" hidden="1">2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eg" localSheetId="3" hidden="1">1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8</definedName>
    <definedName name="solver_num" localSheetId="3" hidden="1">2</definedName>
    <definedName name="solver_nwt" localSheetId="1" hidden="1">1</definedName>
    <definedName name="solver_opt" localSheetId="1" hidden="1">'Cost Structure'!$B$19</definedName>
    <definedName name="solver_opt" localSheetId="0" hidden="1">Inputs!$J$4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1</definedName>
    <definedName name="solver_rel1" localSheetId="1" hidden="1">1</definedName>
    <definedName name="solver_rel1" localSheetId="0" hidden="1">4</definedName>
    <definedName name="solver_rel1" localSheetId="3" hidden="1">1</definedName>
    <definedName name="solver_rel2" localSheetId="0" hidden="1">3</definedName>
    <definedName name="solver_rel2" localSheetId="3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hs1" localSheetId="1" hidden="1">5760</definedName>
    <definedName name="solver_rhs1" localSheetId="0" hidden="1">"integer"</definedName>
    <definedName name="solver_rhs1" localSheetId="3" hidden="1">Optimization!$B$12</definedName>
    <definedName name="solver_rhs2" localSheetId="0" hidden="1">0</definedName>
    <definedName name="solver_rhs2" localSheetId="3" hidden="1">Optimization!$B$11</definedName>
    <definedName name="solver_rhs3" localSheetId="0" hidden="1">Inputs!$J$8</definedName>
    <definedName name="solver_rhs4" localSheetId="0" hidden="1">Inputs!$J$9</definedName>
    <definedName name="solver_rhs5" localSheetId="0" hidden="1">Inputs!$J$10</definedName>
    <definedName name="solver_rhs6" localSheetId="0" hidden="1">20</definedName>
    <definedName name="solver_rhs7" localSheetId="0" hidden="1">30</definedName>
    <definedName name="solver_rhs8" localSheetId="0" hidden="1">20</definedName>
    <definedName name="solver_rlx" localSheetId="1" hidden="1">2</definedName>
    <definedName name="solver_rlx" localSheetId="0" hidden="1">1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typ" localSheetId="3" hidden="1">1</definedName>
    <definedName name="solver_val" localSheetId="1" hidden="1">0</definedName>
    <definedName name="solver_val" localSheetId="0" hidden="1">0</definedName>
    <definedName name="solver_val" localSheetId="3" hidden="1">0</definedName>
    <definedName name="solver_ver" localSheetId="1" hidden="1">3</definedName>
    <definedName name="solver_ver" localSheetId="0" hidden="1">2</definedName>
    <definedName name="solver_ver" localSheetId="3" hidden="1">3</definedName>
    <definedName name="TEMP_ANNUAL_VALUE">Inputs!$B$21</definedName>
    <definedName name="TEMP_HRS_PER_WORKER">Inputs!$B$16</definedName>
    <definedName name="TEMP_RATE">Inputs!$B$15</definedName>
    <definedName name="TOM_BEDS">Inputs!$B$4</definedName>
    <definedName name="TOM_CAP">Inputs!$C$4</definedName>
    <definedName name="TOM_DIM">Inputs!$G$4</definedName>
    <definedName name="TOM_HRS">Inputs!$E$4</definedName>
    <definedName name="TOM_PRICE">Inputs!$D$4</definedName>
    <definedName name="TOTAL_BEDS">Inputs!$B$12</definedName>
    <definedName name="WEEKS">Inputs!$B$10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4" i="5"/>
  <c r="B11" i="4"/>
  <c r="B6" i="4"/>
  <c r="B5" i="4"/>
  <c r="B4" i="4"/>
  <c r="E100" i="3"/>
  <c r="D100" i="3"/>
  <c r="C100" i="3"/>
  <c r="E99" i="3"/>
  <c r="D99" i="3"/>
  <c r="C99" i="3"/>
  <c r="F99" i="3" s="1"/>
  <c r="E98" i="3"/>
  <c r="D98" i="3"/>
  <c r="C98" i="3"/>
  <c r="F98" i="3" s="1"/>
  <c r="E97" i="3"/>
  <c r="D97" i="3"/>
  <c r="C97" i="3"/>
  <c r="F97" i="3" s="1"/>
  <c r="F96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F75" i="3" s="1"/>
  <c r="E74" i="3"/>
  <c r="D74" i="3"/>
  <c r="C74" i="3"/>
  <c r="F74" i="3" s="1"/>
  <c r="E73" i="3"/>
  <c r="D73" i="3"/>
  <c r="C73" i="3"/>
  <c r="F73" i="3" s="1"/>
  <c r="E72" i="3"/>
  <c r="D72" i="3"/>
  <c r="C72" i="3"/>
  <c r="F72" i="3" s="1"/>
  <c r="E71" i="3"/>
  <c r="D71" i="3"/>
  <c r="C71" i="3"/>
  <c r="F71" i="3" s="1"/>
  <c r="E70" i="3"/>
  <c r="D70" i="3"/>
  <c r="C70" i="3"/>
  <c r="F70" i="3" s="1"/>
  <c r="E57" i="3"/>
  <c r="D57" i="3"/>
  <c r="C57" i="3"/>
  <c r="F57" i="3" s="1"/>
  <c r="E56" i="3"/>
  <c r="D56" i="3"/>
  <c r="C56" i="3"/>
  <c r="F56" i="3" s="1"/>
  <c r="E55" i="3"/>
  <c r="D55" i="3"/>
  <c r="C55" i="3"/>
  <c r="F55" i="3" s="1"/>
  <c r="E54" i="3"/>
  <c r="D54" i="3"/>
  <c r="C54" i="3"/>
  <c r="F54" i="3" s="1"/>
  <c r="E53" i="3"/>
  <c r="D53" i="3"/>
  <c r="C53" i="3"/>
  <c r="F53" i="3" s="1"/>
  <c r="E52" i="3"/>
  <c r="D52" i="3"/>
  <c r="C52" i="3"/>
  <c r="F52" i="3" s="1"/>
  <c r="E51" i="3"/>
  <c r="D51" i="3"/>
  <c r="C51" i="3"/>
  <c r="F51" i="3" s="1"/>
  <c r="E50" i="3"/>
  <c r="D50" i="3"/>
  <c r="C50" i="3"/>
  <c r="F50" i="3" s="1"/>
  <c r="E49" i="3"/>
  <c r="D49" i="3"/>
  <c r="C49" i="3"/>
  <c r="F49" i="3" s="1"/>
  <c r="E48" i="3"/>
  <c r="D48" i="3"/>
  <c r="C48" i="3"/>
  <c r="F48" i="3" s="1"/>
  <c r="E47" i="3"/>
  <c r="D47" i="3"/>
  <c r="C47" i="3"/>
  <c r="F47" i="3" s="1"/>
  <c r="E46" i="3"/>
  <c r="D46" i="3"/>
  <c r="C46" i="3"/>
  <c r="F46" i="3" s="1"/>
  <c r="E45" i="3"/>
  <c r="D45" i="3"/>
  <c r="C45" i="3"/>
  <c r="F45" i="3" s="1"/>
  <c r="E44" i="3"/>
  <c r="D44" i="3"/>
  <c r="C44" i="3"/>
  <c r="F44" i="3" s="1"/>
  <c r="E43" i="3"/>
  <c r="D43" i="3"/>
  <c r="C43" i="3"/>
  <c r="F43" i="3" s="1"/>
  <c r="E42" i="3"/>
  <c r="D42" i="3"/>
  <c r="C42" i="3"/>
  <c r="F42" i="3" s="1"/>
  <c r="E41" i="3"/>
  <c r="D41" i="3"/>
  <c r="C41" i="3"/>
  <c r="F41" i="3" s="1"/>
  <c r="E40" i="3"/>
  <c r="D40" i="3"/>
  <c r="C40" i="3"/>
  <c r="F40" i="3" s="1"/>
  <c r="E39" i="3"/>
  <c r="D39" i="3"/>
  <c r="C39" i="3"/>
  <c r="F39" i="3" s="1"/>
  <c r="E38" i="3"/>
  <c r="D38" i="3"/>
  <c r="C38" i="3"/>
  <c r="F38" i="3" s="1"/>
  <c r="E37" i="3"/>
  <c r="D37" i="3"/>
  <c r="C37" i="3"/>
  <c r="F37" i="3" s="1"/>
  <c r="E24" i="3"/>
  <c r="D24" i="3"/>
  <c r="C24" i="3"/>
  <c r="F24" i="3" s="1"/>
  <c r="E23" i="3"/>
  <c r="D23" i="3"/>
  <c r="C23" i="3"/>
  <c r="F23" i="3" s="1"/>
  <c r="E22" i="3"/>
  <c r="D22" i="3"/>
  <c r="C22" i="3"/>
  <c r="F22" i="3" s="1"/>
  <c r="E21" i="3"/>
  <c r="D21" i="3"/>
  <c r="C21" i="3"/>
  <c r="F21" i="3" s="1"/>
  <c r="E20" i="3"/>
  <c r="D20" i="3"/>
  <c r="C20" i="3"/>
  <c r="F20" i="3" s="1"/>
  <c r="E19" i="3"/>
  <c r="D19" i="3"/>
  <c r="C19" i="3"/>
  <c r="F19" i="3" s="1"/>
  <c r="E18" i="3"/>
  <c r="D18" i="3"/>
  <c r="C18" i="3"/>
  <c r="F18" i="3" s="1"/>
  <c r="E17" i="3"/>
  <c r="D17" i="3"/>
  <c r="C17" i="3"/>
  <c r="F17" i="3" s="1"/>
  <c r="E16" i="3"/>
  <c r="D16" i="3"/>
  <c r="C16" i="3"/>
  <c r="F16" i="3" s="1"/>
  <c r="E15" i="3"/>
  <c r="D15" i="3"/>
  <c r="C15" i="3"/>
  <c r="F15" i="3" s="1"/>
  <c r="E14" i="3"/>
  <c r="D14" i="3"/>
  <c r="C14" i="3"/>
  <c r="F14" i="3" s="1"/>
  <c r="E13" i="3"/>
  <c r="D13" i="3"/>
  <c r="C13" i="3"/>
  <c r="F13" i="3" s="1"/>
  <c r="E12" i="3"/>
  <c r="D12" i="3"/>
  <c r="C12" i="3"/>
  <c r="F12" i="3" s="1"/>
  <c r="E11" i="3"/>
  <c r="D11" i="3"/>
  <c r="C11" i="3"/>
  <c r="F11" i="3" s="1"/>
  <c r="E10" i="3"/>
  <c r="D10" i="3"/>
  <c r="C10" i="3"/>
  <c r="F10" i="3" s="1"/>
  <c r="E9" i="3"/>
  <c r="G9" i="3" s="1"/>
  <c r="H9" i="3" s="1"/>
  <c r="D9" i="3"/>
  <c r="C9" i="3"/>
  <c r="F9" i="3" s="1"/>
  <c r="E8" i="3"/>
  <c r="D8" i="3"/>
  <c r="C8" i="3"/>
  <c r="F8" i="3" s="1"/>
  <c r="E7" i="3"/>
  <c r="D7" i="3"/>
  <c r="C7" i="3"/>
  <c r="F7" i="3" s="1"/>
  <c r="E6" i="3"/>
  <c r="D6" i="3"/>
  <c r="C6" i="3"/>
  <c r="F6" i="3" s="1"/>
  <c r="F5" i="3"/>
  <c r="E5" i="3"/>
  <c r="D5" i="3"/>
  <c r="C5" i="3"/>
  <c r="E4" i="3"/>
  <c r="D4" i="3"/>
  <c r="C4" i="3"/>
  <c r="B18" i="2"/>
  <c r="B6" i="2"/>
  <c r="B5" i="2"/>
  <c r="B4" i="2"/>
  <c r="B16" i="1"/>
  <c r="B15" i="1"/>
  <c r="B14" i="1"/>
  <c r="B13" i="1"/>
  <c r="B20" i="2" s="1"/>
  <c r="J10" i="1"/>
  <c r="J8" i="1"/>
  <c r="E5" i="1"/>
  <c r="B15" i="4" l="1"/>
  <c r="E6" i="2"/>
  <c r="D6" i="2"/>
  <c r="C6" i="2"/>
  <c r="E5" i="2"/>
  <c r="C5" i="2"/>
  <c r="D5" i="2"/>
  <c r="C4" i="2"/>
  <c r="D4" i="2"/>
  <c r="E4" i="2"/>
  <c r="B8" i="2"/>
  <c r="F95" i="3"/>
  <c r="F4" i="3"/>
  <c r="G5" i="3" s="1"/>
  <c r="H5" i="3" s="1"/>
  <c r="F92" i="3"/>
  <c r="F93" i="3"/>
  <c r="G93" i="3" s="1"/>
  <c r="H93" i="3" s="1"/>
  <c r="F94" i="3"/>
  <c r="G94" i="3" s="1"/>
  <c r="H94" i="3" s="1"/>
  <c r="F91" i="3"/>
  <c r="F90" i="3"/>
  <c r="F89" i="3"/>
  <c r="G89" i="3" s="1"/>
  <c r="H89" i="3" s="1"/>
  <c r="F88" i="3"/>
  <c r="F76" i="3"/>
  <c r="G76" i="3" s="1"/>
  <c r="H76" i="3" s="1"/>
  <c r="F77" i="3"/>
  <c r="G77" i="3" s="1"/>
  <c r="H77" i="3" s="1"/>
  <c r="F79" i="3"/>
  <c r="F78" i="3"/>
  <c r="G78" i="3" s="1"/>
  <c r="H78" i="3" s="1"/>
  <c r="F100" i="3"/>
  <c r="G100" i="3" s="1"/>
  <c r="H100" i="3" s="1"/>
  <c r="F80" i="3"/>
  <c r="G80" i="3" s="1"/>
  <c r="H80" i="3" s="1"/>
  <c r="F81" i="3"/>
  <c r="G81" i="3" s="1"/>
  <c r="H81" i="3" s="1"/>
  <c r="F82" i="3"/>
  <c r="G82" i="3" s="1"/>
  <c r="H82" i="3" s="1"/>
  <c r="F83" i="3"/>
  <c r="G83" i="3" s="1"/>
  <c r="H83" i="3" s="1"/>
  <c r="F84" i="3"/>
  <c r="G84" i="3" s="1"/>
  <c r="H84" i="3" s="1"/>
  <c r="F85" i="3"/>
  <c r="G85" i="3" s="1"/>
  <c r="H85" i="3" s="1"/>
  <c r="F86" i="3"/>
  <c r="G86" i="3" s="1"/>
  <c r="H86" i="3" s="1"/>
  <c r="F87" i="3"/>
  <c r="G87" i="3" s="1"/>
  <c r="H87" i="3" s="1"/>
  <c r="B12" i="4"/>
  <c r="B6" i="5"/>
  <c r="J9" i="1"/>
  <c r="G99" i="3"/>
  <c r="H99" i="3" s="1"/>
  <c r="G98" i="3"/>
  <c r="H98" i="3" s="1"/>
  <c r="G97" i="3"/>
  <c r="H97" i="3" s="1"/>
  <c r="G23" i="3"/>
  <c r="H23" i="3" s="1"/>
  <c r="G22" i="3"/>
  <c r="H22" i="3" s="1"/>
  <c r="G21" i="3"/>
  <c r="H21" i="3" s="1"/>
  <c r="G18" i="3"/>
  <c r="H18" i="3" s="1"/>
  <c r="G15" i="3"/>
  <c r="H15" i="3" s="1"/>
  <c r="G14" i="3"/>
  <c r="H14" i="3" s="1"/>
  <c r="G11" i="3"/>
  <c r="H11" i="3" s="1"/>
  <c r="G75" i="3"/>
  <c r="H75" i="3" s="1"/>
  <c r="G74" i="3"/>
  <c r="H74" i="3" s="1"/>
  <c r="G73" i="3"/>
  <c r="H73" i="3" s="1"/>
  <c r="G72" i="3"/>
  <c r="H72" i="3" s="1"/>
  <c r="G71" i="3"/>
  <c r="H71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6" i="3"/>
  <c r="H46" i="3" s="1"/>
  <c r="G45" i="3"/>
  <c r="H45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17" i="3"/>
  <c r="H17" i="3" s="1"/>
  <c r="G13" i="3"/>
  <c r="H13" i="3" s="1"/>
  <c r="G47" i="3"/>
  <c r="H47" i="3" s="1"/>
  <c r="G44" i="3"/>
  <c r="H44" i="3" s="1"/>
  <c r="G12" i="3"/>
  <c r="H12" i="3" s="1"/>
  <c r="G10" i="3"/>
  <c r="H10" i="3" s="1"/>
  <c r="G8" i="3"/>
  <c r="H8" i="3" s="1"/>
  <c r="G7" i="3"/>
  <c r="H7" i="3" s="1"/>
  <c r="G6" i="3"/>
  <c r="H6" i="3" s="1"/>
  <c r="G24" i="3"/>
  <c r="H24" i="3" s="1"/>
  <c r="G20" i="3"/>
  <c r="H20" i="3" s="1"/>
  <c r="G19" i="3"/>
  <c r="H19" i="3" s="1"/>
  <c r="G16" i="3"/>
  <c r="H16" i="3" s="1"/>
  <c r="B10" i="2" l="1"/>
  <c r="B9" i="2"/>
  <c r="B11" i="2"/>
  <c r="B22" i="2"/>
  <c r="B9" i="4"/>
  <c r="B13" i="4" s="1"/>
  <c r="J5" i="1"/>
  <c r="G96" i="3"/>
  <c r="H96" i="3" s="1"/>
  <c r="G95" i="3"/>
  <c r="H95" i="3" s="1"/>
  <c r="G92" i="3"/>
  <c r="H92" i="3" s="1"/>
  <c r="G91" i="3"/>
  <c r="H91" i="3" s="1"/>
  <c r="G90" i="3"/>
  <c r="H90" i="3" s="1"/>
  <c r="G88" i="3"/>
  <c r="H88" i="3" s="1"/>
  <c r="G79" i="3"/>
  <c r="H79" i="3" s="1"/>
  <c r="B21" i="2" l="1"/>
  <c r="B12" i="2"/>
  <c r="B10" i="4"/>
  <c r="B14" i="4" s="1"/>
  <c r="B5" i="5"/>
  <c r="B7" i="5"/>
  <c r="J6" i="1"/>
  <c r="B9" i="5"/>
  <c r="B14" i="2" l="1"/>
  <c r="B13" i="2"/>
  <c r="B10" i="5"/>
  <c r="B16" i="4"/>
  <c r="J7" i="1" l="1"/>
  <c r="B23" i="2"/>
  <c r="B15" i="2"/>
  <c r="B16" i="2" s="1"/>
  <c r="B19" i="2" l="1"/>
  <c r="B17" i="2"/>
  <c r="B8" i="4" l="1"/>
  <c r="B12" i="5"/>
  <c r="J4" i="1"/>
  <c r="F6" i="2"/>
  <c r="F5" i="2"/>
  <c r="F4" i="2"/>
  <c r="B24" i="2" l="1"/>
  <c r="B8" i="5" s="1"/>
</calcChain>
</file>

<file path=xl/sharedStrings.xml><?xml version="1.0" encoding="utf-8"?>
<sst xmlns="http://schemas.openxmlformats.org/spreadsheetml/2006/main" count="221" uniqueCount="129">
  <si>
    <t>FARM MODEL | INPUTS</t>
  </si>
  <si>
    <t>Crop</t>
  </si>
  <si>
    <t>Beds (editable)</t>
  </si>
  <si>
    <t>Cap</t>
  </si>
  <si>
    <t>Revenue / bed ($)</t>
  </si>
  <si>
    <t>Field hrs / wk / bed</t>
  </si>
  <si>
    <t>Fertilizer / bed ($)</t>
  </si>
  <si>
    <t>Diminishing rate</t>
  </si>
  <si>
    <t>Tomatoes</t>
  </si>
  <si>
    <t>Carrots</t>
  </si>
  <si>
    <t>Mesclun</t>
  </si>
  <si>
    <t>Season weeks</t>
  </si>
  <si>
    <t>Fixed cost ($)</t>
  </si>
  <si>
    <t>Available beds</t>
  </si>
  <si>
    <t>Owner hours</t>
  </si>
  <si>
    <t>Owner hourly rate ($)</t>
  </si>
  <si>
    <t>Temp hourly rate ($)</t>
  </si>
  <si>
    <t>Temp hours / worker</t>
  </si>
  <si>
    <t>Maximum temp workers</t>
  </si>
  <si>
    <t>Hours per week</t>
  </si>
  <si>
    <t>Owner field share</t>
  </si>
  <si>
    <t>Owner annual value ($)</t>
  </si>
  <si>
    <t>Temp annual value ($)</t>
  </si>
  <si>
    <t>Source</t>
  </si>
  <si>
    <t>https://adamwstauffer.github.io/ai-lms/case-perfect-competition.html</t>
  </si>
  <si>
    <t>Blue cells are editable case inputs; start with original hypothesis.</t>
  </si>
  <si>
    <t>FARM MODEL | COST STRUCTURE</t>
  </si>
  <si>
    <t>Beds</t>
  </si>
  <si>
    <t>Revenue ($)</t>
  </si>
  <si>
    <t>Fertilizer ($)</t>
  </si>
  <si>
    <t>Labor hours</t>
  </si>
  <si>
    <t>Allocated labor ($)</t>
  </si>
  <si>
    <t>Total beds</t>
  </si>
  <si>
    <t>Total revenue ($)</t>
  </si>
  <si>
    <t>Total fertilizer ($)</t>
  </si>
  <si>
    <t>Total labor hours</t>
  </si>
  <si>
    <t>Owner hours used</t>
  </si>
  <si>
    <t>Temporary hours used</t>
  </si>
  <si>
    <t>Owner labor cost ($)</t>
  </si>
  <si>
    <t>Temporary labor cost ($)</t>
  </si>
  <si>
    <t>Total labor cost ($)</t>
  </si>
  <si>
    <t>Blended labor rate ($/hr)</t>
  </si>
  <si>
    <t>Season profit ($)</t>
  </si>
  <si>
    <t>Labor hours available</t>
  </si>
  <si>
    <t>Labor capacity remaining</t>
  </si>
  <si>
    <t>Unused beds</t>
  </si>
  <si>
    <t>Temp workers equivalent</t>
  </si>
  <si>
    <t>Allocated labor reconciliation</t>
  </si>
  <si>
    <t>FARM MODEL | MARGINAL COST</t>
  </si>
  <si>
    <t>Labor hrs</t>
  </si>
  <si>
    <t>Labor cost ($)</t>
  </si>
  <si>
    <t>Marginal cost ($)</t>
  </si>
  <si>
    <t>Price minus MC ($)</t>
  </si>
  <si>
    <t>FARM MODEL | OPTIMIZATION</t>
  </si>
  <si>
    <t>Decision variable</t>
  </si>
  <si>
    <t>Beds available</t>
  </si>
  <si>
    <t>Labor available</t>
  </si>
  <si>
    <t>Beds remaining</t>
  </si>
  <si>
    <t>Labor remaining</t>
  </si>
  <si>
    <t>Crop caps met</t>
  </si>
  <si>
    <t>Overall feasibility</t>
  </si>
  <si>
    <t>Solver objective: Cost Structure!B19 (maximize)</t>
  </si>
  <si>
    <t>Changing cells: Inputs!B4:B6</t>
  </si>
  <si>
    <t>Constraints: total beds &lt;=64; labor &lt;=6480; crop caps; nonnegative integers</t>
  </si>
  <si>
    <t>Use GRG Nonlinear, test starts 0/0/0 and 20/0/0; record results in Audit.</t>
  </si>
  <si>
    <t>FARM MODEL | AUDIT</t>
  </si>
  <si>
    <t>Check</t>
  </si>
  <si>
    <t>Formula result</t>
  </si>
  <si>
    <t>Expected / interpretation</t>
  </si>
  <si>
    <t>One tomato bed hours</t>
  </si>
  <si>
    <t>99 hours</t>
  </si>
  <si>
    <t>Original hypothesis labor (18/18/25)</t>
  </si>
  <si>
    <t>Compare to ~11,384 only when inputs 18/18/25</t>
  </si>
  <si>
    <t>Available labor</t>
  </si>
  <si>
    <t>6,480 hours</t>
  </si>
  <si>
    <t>Labor shortfall</t>
  </si>
  <si>
    <t>For original hypothesis, ~4,904 hours</t>
  </si>
  <si>
    <t>Labor allocation balance</t>
  </si>
  <si>
    <t>Zero</t>
  </si>
  <si>
    <t>Beds feasible</t>
  </si>
  <si>
    <t>PASS</t>
  </si>
  <si>
    <t>Labor feasible</t>
  </si>
  <si>
    <t>Published optimum comparison</t>
  </si>
  <si>
    <t>10/20/30, to be independently tested</t>
  </si>
  <si>
    <t>Profit versus published target</t>
  </si>
  <si>
    <t>Approximately zero at published optimum</t>
  </si>
  <si>
    <t>Solver start 0/0/0</t>
  </si>
  <si>
    <t>Record observed result after running Solver</t>
  </si>
  <si>
    <t>Solver start 20/0/0</t>
  </si>
  <si>
    <t>Farm Profit Lab check</t>
  </si>
  <si>
    <t>Record independently checked marginal cost</t>
  </si>
  <si>
    <t>Unexpected MC dip</t>
  </si>
  <si>
    <t>Inspect tomato marginal cost near 6 beds</t>
  </si>
  <si>
    <t>Audit conclusion</t>
  </si>
  <si>
    <t>Complete only after running checks</t>
  </si>
  <si>
    <t>SINGLE-SHEET SOLVER SETUP</t>
  </si>
  <si>
    <t>Calculated value</t>
  </si>
  <si>
    <t>Season profit</t>
  </si>
  <si>
    <t>Total beds used</t>
  </si>
  <si>
    <t>Temporary labor hours</t>
  </si>
  <si>
    <t>Maximum beds</t>
  </si>
  <si>
    <t>Maximum labor hours</t>
  </si>
  <si>
    <t>Maximum temporary hours</t>
  </si>
  <si>
    <t>SOLVER SETTINGS</t>
  </si>
  <si>
    <t>Set Objective (Max)</t>
  </si>
  <si>
    <t>$J$4</t>
  </si>
  <si>
    <t>Changing cells</t>
  </si>
  <si>
    <t>$B$4:$B$6</t>
  </si>
  <si>
    <t>Solving method</t>
  </si>
  <si>
    <t>GRG Nonlinear</t>
  </si>
  <si>
    <t>Run starts</t>
  </si>
  <si>
    <t>0/0/0, then 20/0/0</t>
  </si>
  <si>
    <t>CONSTRAINTS (all on Inputs)</t>
  </si>
  <si>
    <t>$B$4 &lt;= $C$4</t>
  </si>
  <si>
    <t>Tomato cap</t>
  </si>
  <si>
    <t>$B$5 &lt;= $C$5</t>
  </si>
  <si>
    <t>Carrot cap</t>
  </si>
  <si>
    <t>$B$6 &lt;= $C$6</t>
  </si>
  <si>
    <t>Mesclun cap</t>
  </si>
  <si>
    <t>$B$4:$B$6 = int</t>
  </si>
  <si>
    <t>Whole beds</t>
  </si>
  <si>
    <t>$B$4:$B$6 &gt;= 0</t>
  </si>
  <si>
    <t>Nonnegative</t>
  </si>
  <si>
    <t>$J$5 &lt;= $J$8</t>
  </si>
  <si>
    <t>64-bed limit</t>
  </si>
  <si>
    <t>$J$6 &lt;= $J$9</t>
  </si>
  <si>
    <t>Labor limit</t>
  </si>
  <si>
    <t>$J$7 &lt;= $J$10</t>
  </si>
  <si>
    <t>Temporary labor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</si>
</sst>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(\$#,##0.00\)"/>
  </numFmts>
  <fonts count="7">
    <font>
      <sz val="11"/>
      <name val="Carlito"/>
    </font>
    <font>
      <b/>
      <sz val="11"/>
      <color rgb="FFFFFFFF"/>
      <name val="Carlito"/>
    </font>
    <font>
      <b/>
      <sz val="11"/>
      <color rgb="FF0000FF"/>
      <name val="Carlito"/>
    </font>
    <font>
      <sz val="11"/>
      <color rgb="FF0000FF"/>
      <name val="Carlito"/>
    </font>
    <font>
      <b/>
      <sz val="11"/>
      <color rgb="FF111827"/>
      <name val="Carlito"/>
    </font>
    <font>
      <b/>
      <sz val="11"/>
      <color rgb="FF17324D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B2"/>
      </patternFill>
    </fill>
    <fill>
      <patternFill patternType="solid">
        <fgColor rgb="FFDCFCE7"/>
      </patternFill>
    </fill>
    <fill>
      <patternFill patternType="solid">
        <fgColor rgb="FFDCEAF3"/>
      </patternFill>
    </fill>
    <fill>
      <patternFill patternType="solid">
        <fgColor rgb="FF17365D"/>
      </patternFill>
    </fill>
    <fill>
      <patternFill patternType="solid">
        <fgColor rgb="FF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0" fontId="3" fillId="0" borderId="0" xfId="0" applyNumberFormat="1" applyFont="1"/>
    <xf numFmtId="0" fontId="4" fillId="4" borderId="0" xfId="0" applyFont="1" applyFill="1"/>
    <xf numFmtId="0" fontId="5" fillId="5" borderId="0" xfId="0" applyFont="1" applyFill="1"/>
    <xf numFmtId="0" fontId="1" fillId="6" borderId="0" xfId="0" applyFont="1" applyFill="1"/>
    <xf numFmtId="164" fontId="0" fillId="0" borderId="0" xfId="0" applyNumberFormat="1"/>
    <xf numFmtId="4" fontId="0" fillId="0" borderId="0" xfId="0" applyNumberFormat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6" sqref="B6"/>
    </sheetView>
  </sheetViews>
  <sheetFormatPr baseColWidth="10" defaultColWidth="8.83203125" defaultRowHeight="14"/>
  <cols>
    <col min="1" max="1" width="30" customWidth="1"/>
    <col min="2" max="2" width="23" customWidth="1"/>
    <col min="3" max="7" width="22" customWidth="1"/>
    <col min="9" max="9" width="27" customWidth="1"/>
    <col min="10" max="10" width="23" customWidth="1"/>
  </cols>
  <sheetData>
    <row r="1" spans="1:10" ht="57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10" ht="44.2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/>
      <c r="I3" s="7" t="s">
        <v>95</v>
      </c>
      <c r="J3" s="7" t="s">
        <v>96</v>
      </c>
    </row>
    <row r="4" spans="1:10" ht="15">
      <c r="A4" t="s">
        <v>8</v>
      </c>
      <c r="B4" s="2">
        <v>10.004049010541378</v>
      </c>
      <c r="C4" s="3">
        <v>20</v>
      </c>
      <c r="D4" s="3">
        <v>8800</v>
      </c>
      <c r="E4" s="3">
        <v>2.5</v>
      </c>
      <c r="F4" s="3">
        <v>880</v>
      </c>
      <c r="G4" s="4">
        <v>0.1</v>
      </c>
      <c r="I4" t="s">
        <v>97</v>
      </c>
      <c r="J4" s="8">
        <f>'Cost Structure'!B19</f>
        <v>42761.674037985737</v>
      </c>
    </row>
    <row r="5" spans="1:10" ht="15">
      <c r="A5" t="s">
        <v>9</v>
      </c>
      <c r="B5" s="2">
        <v>20</v>
      </c>
      <c r="C5" s="3">
        <v>20</v>
      </c>
      <c r="D5" s="3">
        <v>2094</v>
      </c>
      <c r="E5" s="3">
        <f>2.5/3</f>
        <v>0.83333333333333337</v>
      </c>
      <c r="F5" s="3">
        <v>440</v>
      </c>
      <c r="G5" s="4">
        <v>2.5000000000000001E-2</v>
      </c>
      <c r="I5" t="s">
        <v>98</v>
      </c>
      <c r="J5" s="9">
        <f>'Cost Structure'!B8</f>
        <v>60.00404901054138</v>
      </c>
    </row>
    <row r="6" spans="1:10" ht="15">
      <c r="A6" t="s">
        <v>10</v>
      </c>
      <c r="B6" s="2">
        <v>30</v>
      </c>
      <c r="C6" s="3">
        <v>30</v>
      </c>
      <c r="D6" s="3">
        <v>2700</v>
      </c>
      <c r="E6" s="3">
        <v>1.25</v>
      </c>
      <c r="F6" s="3">
        <v>880</v>
      </c>
      <c r="G6" s="4">
        <v>1.2500000000000001E-2</v>
      </c>
      <c r="I6" t="s">
        <v>35</v>
      </c>
      <c r="J6" s="9">
        <f>'Cost Structure'!B11</f>
        <v>5279.0627016289136</v>
      </c>
    </row>
    <row r="7" spans="1:10">
      <c r="I7" t="s">
        <v>99</v>
      </c>
      <c r="J7" s="9">
        <f>'Cost Structure'!B13</f>
        <v>4559.0627016289136</v>
      </c>
    </row>
    <row r="8" spans="1:10">
      <c r="I8" t="s">
        <v>100</v>
      </c>
      <c r="J8" s="9">
        <f>B12</f>
        <v>64</v>
      </c>
    </row>
    <row r="9" spans="1:10">
      <c r="I9" t="s">
        <v>101</v>
      </c>
      <c r="J9" s="9">
        <f>'Cost Structure'!B20</f>
        <v>6480</v>
      </c>
    </row>
    <row r="10" spans="1:10">
      <c r="A10" t="s">
        <v>11</v>
      </c>
      <c r="B10" s="3">
        <v>36</v>
      </c>
      <c r="I10" t="s">
        <v>102</v>
      </c>
      <c r="J10" s="9">
        <f>B16*B17</f>
        <v>5760</v>
      </c>
    </row>
    <row r="11" spans="1:10">
      <c r="A11" t="s">
        <v>12</v>
      </c>
      <c r="B11" s="3">
        <v>20000</v>
      </c>
    </row>
    <row r="12" spans="1:10" ht="15">
      <c r="A12" t="s">
        <v>13</v>
      </c>
      <c r="B12" s="3">
        <v>64</v>
      </c>
      <c r="I12" s="10" t="s">
        <v>103</v>
      </c>
      <c r="J12" s="10"/>
    </row>
    <row r="13" spans="1:10">
      <c r="A13" t="s">
        <v>14</v>
      </c>
      <c r="B13" s="3">
        <f>B18*B10*B19</f>
        <v>720</v>
      </c>
      <c r="I13" t="s">
        <v>104</v>
      </c>
      <c r="J13" t="s">
        <v>105</v>
      </c>
    </row>
    <row r="14" spans="1:10">
      <c r="A14" t="s">
        <v>15</v>
      </c>
      <c r="B14" s="3">
        <f>B20/(B18*B10)</f>
        <v>34.722222222222221</v>
      </c>
      <c r="I14" t="s">
        <v>106</v>
      </c>
      <c r="J14" t="s">
        <v>107</v>
      </c>
    </row>
    <row r="15" spans="1:10">
      <c r="A15" t="s">
        <v>16</v>
      </c>
      <c r="B15" s="3">
        <f>B21/(B18*B10)</f>
        <v>17.361111111111111</v>
      </c>
      <c r="I15" t="s">
        <v>108</v>
      </c>
      <c r="J15" t="s">
        <v>109</v>
      </c>
    </row>
    <row r="16" spans="1:10">
      <c r="A16" t="s">
        <v>17</v>
      </c>
      <c r="B16" s="3">
        <f>B18*B10</f>
        <v>1440</v>
      </c>
      <c r="I16" t="s">
        <v>110</v>
      </c>
      <c r="J16" t="s">
        <v>111</v>
      </c>
    </row>
    <row r="17" spans="1:10">
      <c r="A17" t="s">
        <v>18</v>
      </c>
      <c r="B17" s="3">
        <v>4</v>
      </c>
    </row>
    <row r="18" spans="1:10" ht="15">
      <c r="A18" t="s">
        <v>19</v>
      </c>
      <c r="B18" s="3">
        <v>40</v>
      </c>
      <c r="I18" s="10" t="s">
        <v>112</v>
      </c>
      <c r="J18" s="10"/>
    </row>
    <row r="19" spans="1:10">
      <c r="A19" t="s">
        <v>20</v>
      </c>
      <c r="B19" s="3">
        <v>0.5</v>
      </c>
      <c r="I19" t="s">
        <v>113</v>
      </c>
      <c r="J19" t="s">
        <v>114</v>
      </c>
    </row>
    <row r="20" spans="1:10">
      <c r="A20" t="s">
        <v>21</v>
      </c>
      <c r="B20" s="3">
        <v>50000</v>
      </c>
      <c r="I20" t="s">
        <v>115</v>
      </c>
      <c r="J20" t="s">
        <v>116</v>
      </c>
    </row>
    <row r="21" spans="1:10">
      <c r="A21" t="s">
        <v>22</v>
      </c>
      <c r="B21" s="3">
        <v>25000</v>
      </c>
      <c r="I21" t="s">
        <v>117</v>
      </c>
      <c r="J21" t="s">
        <v>118</v>
      </c>
    </row>
    <row r="22" spans="1:10">
      <c r="B22" s="3"/>
      <c r="I22" t="s">
        <v>119</v>
      </c>
      <c r="J22" t="s">
        <v>120</v>
      </c>
    </row>
    <row r="23" spans="1:10">
      <c r="A23" t="s">
        <v>23</v>
      </c>
      <c r="B23" t="s">
        <v>24</v>
      </c>
      <c r="I23" t="s">
        <v>121</v>
      </c>
      <c r="J23" t="s">
        <v>122</v>
      </c>
    </row>
    <row r="24" spans="1:10">
      <c r="I24" t="s">
        <v>123</v>
      </c>
      <c r="J24" t="s">
        <v>124</v>
      </c>
    </row>
    <row r="25" spans="1:10">
      <c r="A25" t="s">
        <v>25</v>
      </c>
      <c r="I25" t="s">
        <v>125</v>
      </c>
      <c r="J25" t="s">
        <v>126</v>
      </c>
    </row>
    <row r="26" spans="1:10">
      <c r="I26" t="s">
        <v>127</v>
      </c>
      <c r="J26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B14" sqref="B14"/>
    </sheetView>
  </sheetViews>
  <sheetFormatPr baseColWidth="10" defaultColWidth="8.83203125" defaultRowHeight="14"/>
  <cols>
    <col min="1" max="1" width="30" customWidth="1"/>
    <col min="2" max="8" width="22" customWidth="1"/>
  </cols>
  <sheetData>
    <row r="1" spans="1:8" ht="57" customHeight="1">
      <c r="A1" s="1" t="s">
        <v>26</v>
      </c>
      <c r="B1" s="1"/>
      <c r="C1" s="1"/>
      <c r="D1" s="1"/>
      <c r="E1" s="1"/>
      <c r="F1" s="1"/>
      <c r="G1" s="1"/>
      <c r="H1" s="1"/>
    </row>
    <row r="3" spans="1:8" ht="44.25" customHeight="1">
      <c r="A3" s="6" t="s">
        <v>1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/>
      <c r="H3" s="6"/>
    </row>
    <row r="4" spans="1:8">
      <c r="A4" t="s">
        <v>8</v>
      </c>
      <c r="B4">
        <f>Inputs!B4</f>
        <v>10.004049010541378</v>
      </c>
      <c r="C4">
        <f>B4*Inputs!D4</f>
        <v>88035.631292764127</v>
      </c>
      <c r="D4">
        <f>B4*Inputs!F4</f>
        <v>8803.5631292764119</v>
      </c>
      <c r="E4">
        <f>B4*Inputs!E4*Inputs!$B$10*(1+Inputs!G4)^B4</f>
        <v>2336.2148014450277</v>
      </c>
      <c r="F4">
        <f>E4*$B$17</f>
        <v>46091.078300178662</v>
      </c>
    </row>
    <row r="5" spans="1:8">
      <c r="A5" t="s">
        <v>9</v>
      </c>
      <c r="B5">
        <f>Inputs!B5</f>
        <v>20</v>
      </c>
      <c r="C5">
        <f>B5*Inputs!D5</f>
        <v>41880</v>
      </c>
      <c r="D5">
        <f>B5*Inputs!F5</f>
        <v>8800</v>
      </c>
      <c r="E5">
        <f>B5*Inputs!E5*Inputs!$B$10*(1+Inputs!G5)^B5</f>
        <v>983.16986417423732</v>
      </c>
      <c r="F5">
        <f>E5*$B$17</f>
        <v>19396.914686098946</v>
      </c>
    </row>
    <row r="6" spans="1:8">
      <c r="A6" t="s">
        <v>10</v>
      </c>
      <c r="B6">
        <f>Inputs!B6</f>
        <v>30</v>
      </c>
      <c r="C6">
        <f>B6*Inputs!D6</f>
        <v>81000</v>
      </c>
      <c r="D6">
        <f>B6*Inputs!F6</f>
        <v>26400</v>
      </c>
      <c r="E6">
        <f>B6*Inputs!E6*Inputs!$B$10*(1+Inputs!G6)^B6</f>
        <v>1959.6780360096488</v>
      </c>
      <c r="F6">
        <f>E6*$B$17</f>
        <v>38662.401139224363</v>
      </c>
    </row>
    <row r="8" spans="1:8">
      <c r="A8" t="s">
        <v>32</v>
      </c>
      <c r="B8">
        <f>SUM(B4:B6)</f>
        <v>60.00404901054138</v>
      </c>
    </row>
    <row r="9" spans="1:8">
      <c r="A9" t="s">
        <v>33</v>
      </c>
      <c r="B9">
        <f>SUM(C4:C6)</f>
        <v>210915.63129276413</v>
      </c>
    </row>
    <row r="10" spans="1:8">
      <c r="A10" t="s">
        <v>34</v>
      </c>
      <c r="B10">
        <f>SUM(D4:D6)</f>
        <v>44003.563129276416</v>
      </c>
    </row>
    <row r="11" spans="1:8">
      <c r="A11" t="s">
        <v>35</v>
      </c>
      <c r="B11">
        <f>SUM(E4:E6)</f>
        <v>5279.0627016289136</v>
      </c>
    </row>
    <row r="12" spans="1:8">
      <c r="A12" t="s">
        <v>36</v>
      </c>
      <c r="B12">
        <f>MIN(B11,Inputs!B13)</f>
        <v>720</v>
      </c>
    </row>
    <row r="13" spans="1:8">
      <c r="A13" t="s">
        <v>37</v>
      </c>
      <c r="B13">
        <f>MAX(0,B11-B12)</f>
        <v>4559.0627016289136</v>
      </c>
    </row>
    <row r="14" spans="1:8">
      <c r="A14" t="s">
        <v>38</v>
      </c>
      <c r="B14">
        <f>B12*Inputs!B14</f>
        <v>25000</v>
      </c>
    </row>
    <row r="15" spans="1:8">
      <c r="A15" t="s">
        <v>39</v>
      </c>
      <c r="B15">
        <f>B13*Inputs!B15</f>
        <v>79150.394125501974</v>
      </c>
    </row>
    <row r="16" spans="1:8">
      <c r="A16" t="s">
        <v>40</v>
      </c>
      <c r="B16">
        <f>B14+B15</f>
        <v>104150.39412550197</v>
      </c>
    </row>
    <row r="17" spans="1:2">
      <c r="A17" t="s">
        <v>41</v>
      </c>
      <c r="B17">
        <f>IF(B11=0,0,B16/B11)</f>
        <v>19.728955690063163</v>
      </c>
    </row>
    <row r="18" spans="1:2">
      <c r="A18" t="s">
        <v>12</v>
      </c>
      <c r="B18">
        <f>Inputs!B11</f>
        <v>20000</v>
      </c>
    </row>
    <row r="19" spans="1:2" ht="15">
      <c r="A19" t="s">
        <v>42</v>
      </c>
      <c r="B19" s="5">
        <f>B9-B10-B16-B18</f>
        <v>42761.674037985737</v>
      </c>
    </row>
    <row r="20" spans="1:2">
      <c r="A20" t="s">
        <v>43</v>
      </c>
      <c r="B20">
        <f>Inputs!B13+Inputs!B16*Inputs!B17</f>
        <v>6480</v>
      </c>
    </row>
    <row r="21" spans="1:2">
      <c r="A21" t="s">
        <v>44</v>
      </c>
      <c r="B21">
        <f>B20-B11</f>
        <v>1200.9372983710864</v>
      </c>
    </row>
    <row r="22" spans="1:2">
      <c r="A22" t="s">
        <v>45</v>
      </c>
      <c r="B22">
        <f>Inputs!B12-B8</f>
        <v>3.9959509894586205</v>
      </c>
    </row>
    <row r="23" spans="1:2">
      <c r="A23" t="s">
        <v>46</v>
      </c>
      <c r="B23">
        <f>B13/Inputs!B16</f>
        <v>3.1660157650200791</v>
      </c>
    </row>
    <row r="24" spans="1:2">
      <c r="A24" t="s">
        <v>47</v>
      </c>
      <c r="B24">
        <f>SUM(F4:F6)-B16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/>
  </sheetViews>
  <sheetFormatPr baseColWidth="10" defaultColWidth="8.83203125" defaultRowHeight="14"/>
  <cols>
    <col min="1" max="1" width="30" customWidth="1"/>
    <col min="2" max="8" width="22" customWidth="1"/>
  </cols>
  <sheetData>
    <row r="1" spans="1:8" ht="57" customHeight="1">
      <c r="A1" s="1" t="s">
        <v>48</v>
      </c>
      <c r="B1" s="1"/>
      <c r="C1" s="1"/>
      <c r="D1" s="1"/>
      <c r="E1" s="1"/>
      <c r="F1" s="1"/>
      <c r="G1" s="1"/>
      <c r="H1" s="1"/>
    </row>
    <row r="3" spans="1:8" ht="44.25" customHeight="1">
      <c r="A3" s="6" t="s">
        <v>1</v>
      </c>
      <c r="B3" s="6" t="s">
        <v>27</v>
      </c>
      <c r="C3" s="6" t="s">
        <v>49</v>
      </c>
      <c r="D3" s="6" t="s">
        <v>28</v>
      </c>
      <c r="E3" s="6" t="s">
        <v>29</v>
      </c>
      <c r="F3" s="6" t="s">
        <v>50</v>
      </c>
      <c r="G3" s="6" t="s">
        <v>51</v>
      </c>
      <c r="H3" s="6" t="s">
        <v>52</v>
      </c>
    </row>
    <row r="4" spans="1:8">
      <c r="A4" t="s">
        <v>8</v>
      </c>
      <c r="B4">
        <v>0</v>
      </c>
      <c r="C4">
        <f>B4*Inputs!E4*Inputs!$B$10*(1+Inputs!G4)^B4</f>
        <v>0</v>
      </c>
      <c r="D4">
        <f>B4*Inputs!D4</f>
        <v>0</v>
      </c>
      <c r="E4">
        <f>B4*Inputs!F4</f>
        <v>0</v>
      </c>
      <c r="F4">
        <f>MIN(C4,Inputs!$B$13)*Inputs!$B$14+MAX(0,C4-Inputs!$B$13)*Inputs!$B$15</f>
        <v>0</v>
      </c>
    </row>
    <row r="5" spans="1:8">
      <c r="A5" t="s">
        <v>8</v>
      </c>
      <c r="B5">
        <v>1</v>
      </c>
      <c r="C5">
        <f>B5*Inputs!E4*Inputs!$B$10*(1+Inputs!G4)^B5</f>
        <v>99.000000000000014</v>
      </c>
      <c r="D5">
        <f>B5*Inputs!D4</f>
        <v>8800</v>
      </c>
      <c r="E5">
        <f>B5*Inputs!F4</f>
        <v>880</v>
      </c>
      <c r="F5">
        <f>MIN(C5,Inputs!$B$13)*Inputs!$B$14+MAX(0,C5-Inputs!$B$13)*Inputs!$B$15</f>
        <v>3437.5000000000005</v>
      </c>
      <c r="G5">
        <f t="shared" ref="G5:G24" si="0">E5+F5-E4-F4</f>
        <v>4317.5</v>
      </c>
      <c r="H5">
        <f>Inputs!D4-G5</f>
        <v>4482.5</v>
      </c>
    </row>
    <row r="6" spans="1:8">
      <c r="A6" t="s">
        <v>8</v>
      </c>
      <c r="B6">
        <v>2</v>
      </c>
      <c r="C6">
        <f>B6*Inputs!E4*Inputs!$B$10*(1+Inputs!G4)^B6</f>
        <v>217.80000000000004</v>
      </c>
      <c r="D6">
        <f>B6*Inputs!D4</f>
        <v>17600</v>
      </c>
      <c r="E6">
        <f>B6*Inputs!F4</f>
        <v>1760</v>
      </c>
      <c r="F6">
        <f>MIN(C6,Inputs!$B$13)*Inputs!$B$14+MAX(0,C6-Inputs!$B$13)*Inputs!$B$15</f>
        <v>7562.5000000000009</v>
      </c>
      <c r="G6">
        <f t="shared" si="0"/>
        <v>5005</v>
      </c>
      <c r="H6">
        <f>Inputs!D4-G6</f>
        <v>3795</v>
      </c>
    </row>
    <row r="7" spans="1:8">
      <c r="A7" t="s">
        <v>8</v>
      </c>
      <c r="B7">
        <v>3</v>
      </c>
      <c r="C7">
        <f>B7*Inputs!E4*Inputs!$B$10*(1+Inputs!G4)^B7</f>
        <v>359.37000000000012</v>
      </c>
      <c r="D7">
        <f>B7*Inputs!D4</f>
        <v>26400</v>
      </c>
      <c r="E7">
        <f>B7*Inputs!F4</f>
        <v>2640</v>
      </c>
      <c r="F7">
        <f>MIN(C7,Inputs!$B$13)*Inputs!$B$14+MAX(0,C7-Inputs!$B$13)*Inputs!$B$15</f>
        <v>12478.125000000004</v>
      </c>
      <c r="G7">
        <f t="shared" si="0"/>
        <v>5795.6250000000027</v>
      </c>
      <c r="H7">
        <f>Inputs!D4-G7</f>
        <v>3004.3749999999973</v>
      </c>
    </row>
    <row r="8" spans="1:8">
      <c r="A8" t="s">
        <v>8</v>
      </c>
      <c r="B8">
        <v>4</v>
      </c>
      <c r="C8">
        <f>B8*Inputs!E4*Inputs!$B$10*(1+Inputs!G4)^B8</f>
        <v>527.07600000000014</v>
      </c>
      <c r="D8">
        <f>B8*Inputs!D4</f>
        <v>35200</v>
      </c>
      <c r="E8">
        <f>B8*Inputs!F4</f>
        <v>3520</v>
      </c>
      <c r="F8">
        <f>MIN(C8,Inputs!$B$13)*Inputs!$B$14+MAX(0,C8-Inputs!$B$13)*Inputs!$B$15</f>
        <v>18301.250000000004</v>
      </c>
      <c r="G8">
        <f t="shared" si="0"/>
        <v>6703.125</v>
      </c>
      <c r="H8">
        <f>Inputs!D4-G8</f>
        <v>2096.875</v>
      </c>
    </row>
    <row r="9" spans="1:8">
      <c r="A9" t="s">
        <v>8</v>
      </c>
      <c r="B9">
        <v>5</v>
      </c>
      <c r="C9">
        <f>B9*Inputs!E4*Inputs!$B$10*(1+Inputs!G4)^B9</f>
        <v>724.72950000000026</v>
      </c>
      <c r="D9">
        <f>B9*Inputs!D4</f>
        <v>44000</v>
      </c>
      <c r="E9">
        <f>B9*Inputs!F4</f>
        <v>4400</v>
      </c>
      <c r="F9">
        <f>MIN(C9,Inputs!$B$13)*Inputs!$B$14+MAX(0,C9-Inputs!$B$13)*Inputs!$B$15</f>
        <v>25082.109375000004</v>
      </c>
      <c r="G9">
        <f t="shared" si="0"/>
        <v>7660.859375</v>
      </c>
      <c r="H9">
        <f>Inputs!D4-G9</f>
        <v>1139.140625</v>
      </c>
    </row>
    <row r="10" spans="1:8">
      <c r="A10" t="s">
        <v>8</v>
      </c>
      <c r="B10">
        <v>6</v>
      </c>
      <c r="C10">
        <f>B10*Inputs!E4*Inputs!$B$10*(1+Inputs!G4)^B10</f>
        <v>956.64294000000041</v>
      </c>
      <c r="D10">
        <f>B10*Inputs!D4</f>
        <v>52800</v>
      </c>
      <c r="E10">
        <f>B10*Inputs!F4</f>
        <v>5280</v>
      </c>
      <c r="F10">
        <f>MIN(C10,Inputs!$B$13)*Inputs!$B$14+MAX(0,C10-Inputs!$B$13)*Inputs!$B$15</f>
        <v>29108.384375000009</v>
      </c>
      <c r="G10">
        <f t="shared" si="0"/>
        <v>4906.2750000000051</v>
      </c>
      <c r="H10">
        <f>Inputs!D4-G10</f>
        <v>3893.7249999999949</v>
      </c>
    </row>
    <row r="11" spans="1:8">
      <c r="A11" t="s">
        <v>8</v>
      </c>
      <c r="B11">
        <v>7</v>
      </c>
      <c r="C11">
        <f>B11*Inputs!E4*Inputs!$B$10*(1+Inputs!G4)^B11</f>
        <v>1227.6917730000007</v>
      </c>
      <c r="D11">
        <f>B11*Inputs!D4</f>
        <v>61600</v>
      </c>
      <c r="E11">
        <f>B11*Inputs!F4</f>
        <v>6160</v>
      </c>
      <c r="F11">
        <f>MIN(C11,Inputs!$B$13)*Inputs!$B$14+MAX(0,C11-Inputs!$B$13)*Inputs!$B$15</f>
        <v>33814.09328125001</v>
      </c>
      <c r="G11">
        <f t="shared" si="0"/>
        <v>5585.7089062500017</v>
      </c>
      <c r="H11">
        <f>Inputs!D4-G11</f>
        <v>3214.2910937499983</v>
      </c>
    </row>
    <row r="12" spans="1:8">
      <c r="A12" t="s">
        <v>8</v>
      </c>
      <c r="B12">
        <v>8</v>
      </c>
      <c r="C12">
        <f>B12*Inputs!E4*Inputs!$B$10*(1+Inputs!G4)^B12</f>
        <v>1543.3839432000009</v>
      </c>
      <c r="D12">
        <f>B12*Inputs!D4</f>
        <v>70400</v>
      </c>
      <c r="E12">
        <f>B12*Inputs!F4</f>
        <v>7040</v>
      </c>
      <c r="F12">
        <f>MIN(C12,Inputs!$B$13)*Inputs!$B$14+MAX(0,C12-Inputs!$B$13)*Inputs!$B$15</f>
        <v>39294.860125000014</v>
      </c>
      <c r="G12">
        <f t="shared" si="0"/>
        <v>6360.7668437500033</v>
      </c>
      <c r="H12">
        <f>Inputs!D4-G12</f>
        <v>2439.2331562499967</v>
      </c>
    </row>
    <row r="13" spans="1:8">
      <c r="A13" t="s">
        <v>8</v>
      </c>
      <c r="B13">
        <v>9</v>
      </c>
      <c r="C13">
        <f>B13*Inputs!E4*Inputs!$B$10*(1+Inputs!G4)^B13</f>
        <v>1909.9376297100011</v>
      </c>
      <c r="D13">
        <f>B13*Inputs!D4</f>
        <v>79200</v>
      </c>
      <c r="E13">
        <f>B13*Inputs!F4</f>
        <v>7920</v>
      </c>
      <c r="F13">
        <f>MIN(C13,Inputs!$B$13)*Inputs!$B$14+MAX(0,C13-Inputs!$B$13)*Inputs!$B$15</f>
        <v>45658.639404687521</v>
      </c>
      <c r="G13">
        <f t="shared" si="0"/>
        <v>7243.7792796875074</v>
      </c>
      <c r="H13">
        <f>Inputs!D4-G13</f>
        <v>1556.2207203124926</v>
      </c>
    </row>
    <row r="14" spans="1:8">
      <c r="A14" t="s">
        <v>8</v>
      </c>
      <c r="B14">
        <v>10</v>
      </c>
      <c r="C14">
        <f>B14*Inputs!E4*Inputs!$B$10*(1+Inputs!G4)^B14</f>
        <v>2334.3682140900019</v>
      </c>
      <c r="D14">
        <f>B14*Inputs!D4</f>
        <v>88000</v>
      </c>
      <c r="E14">
        <f>B14*Inputs!F4</f>
        <v>8800</v>
      </c>
      <c r="F14">
        <f>MIN(C14,Inputs!$B$13)*Inputs!$B$14+MAX(0,C14-Inputs!$B$13)*Inputs!$B$15</f>
        <v>53027.225939062533</v>
      </c>
      <c r="G14">
        <f t="shared" si="0"/>
        <v>8248.586534375012</v>
      </c>
      <c r="H14">
        <f>Inputs!D4-G14</f>
        <v>551.41346562498802</v>
      </c>
    </row>
    <row r="15" spans="1:8">
      <c r="A15" t="s">
        <v>8</v>
      </c>
      <c r="B15">
        <v>11</v>
      </c>
      <c r="C15">
        <f>B15*Inputs!E4*Inputs!$B$10*(1+Inputs!G4)^B15</f>
        <v>2824.5855390489023</v>
      </c>
      <c r="D15">
        <f>B15*Inputs!D4</f>
        <v>96800</v>
      </c>
      <c r="E15">
        <f>B15*Inputs!F4</f>
        <v>9680</v>
      </c>
      <c r="F15">
        <f>MIN(C15,Inputs!$B$13)*Inputs!$B$14+MAX(0,C15-Inputs!$B$13)*Inputs!$B$15</f>
        <v>61537.943386265666</v>
      </c>
      <c r="G15">
        <f t="shared" si="0"/>
        <v>9390.7174472031256</v>
      </c>
      <c r="H15">
        <f>Inputs!D4-G15</f>
        <v>-590.71744720312563</v>
      </c>
    </row>
    <row r="16" spans="1:8">
      <c r="A16" t="s">
        <v>8</v>
      </c>
      <c r="B16">
        <v>12</v>
      </c>
      <c r="C16">
        <f>B16*Inputs!E4*Inputs!$B$10*(1+Inputs!G4)^B16</f>
        <v>3389.502646858683</v>
      </c>
      <c r="D16">
        <f>B16*Inputs!D4</f>
        <v>105600</v>
      </c>
      <c r="E16">
        <f>B16*Inputs!F4</f>
        <v>10560</v>
      </c>
      <c r="F16">
        <f>MIN(C16,Inputs!$B$13)*Inputs!$B$14+MAX(0,C16-Inputs!$B$13)*Inputs!$B$15</f>
        <v>71345.532063518796</v>
      </c>
      <c r="G16">
        <f t="shared" si="0"/>
        <v>10687.58867725313</v>
      </c>
      <c r="H16">
        <f>Inputs!D4-G16</f>
        <v>-1887.5886772531303</v>
      </c>
    </row>
    <row r="17" spans="1:8">
      <c r="A17" t="s">
        <v>8</v>
      </c>
      <c r="B17">
        <v>13</v>
      </c>
      <c r="C17">
        <f>B17*Inputs!E4*Inputs!$B$10*(1+Inputs!G4)^B17</f>
        <v>4039.1573208399304</v>
      </c>
      <c r="D17">
        <f>B17*Inputs!D4</f>
        <v>114400</v>
      </c>
      <c r="E17">
        <f>B17*Inputs!F4</f>
        <v>11440</v>
      </c>
      <c r="F17">
        <f>MIN(C17,Inputs!$B$13)*Inputs!$B$14+MAX(0,C17-Inputs!$B$13)*Inputs!$B$15</f>
        <v>82624.259042359903</v>
      </c>
      <c r="G17">
        <f t="shared" si="0"/>
        <v>12158.726978841107</v>
      </c>
      <c r="H17">
        <f>Inputs!D4-G17</f>
        <v>-3358.7269788411068</v>
      </c>
    </row>
    <row r="18" spans="1:8">
      <c r="A18" t="s">
        <v>8</v>
      </c>
      <c r="B18">
        <v>14</v>
      </c>
      <c r="C18">
        <f>B18*Inputs!E4*Inputs!$B$10*(1+Inputs!G4)^B18</f>
        <v>4784.8479031488414</v>
      </c>
      <c r="D18">
        <f>B18*Inputs!D4</f>
        <v>123200</v>
      </c>
      <c r="E18">
        <f>B18*Inputs!F4</f>
        <v>12320</v>
      </c>
      <c r="F18">
        <f>MIN(C18,Inputs!$B$13)*Inputs!$B$14+MAX(0,C18-Inputs!$B$13)*Inputs!$B$15</f>
        <v>95570.276096334055</v>
      </c>
      <c r="G18">
        <f t="shared" si="0"/>
        <v>13826.017053974152</v>
      </c>
      <c r="H18">
        <f>Inputs!D4-G18</f>
        <v>-5026.0170539741521</v>
      </c>
    </row>
    <row r="19" spans="1:8">
      <c r="A19" t="s">
        <v>8</v>
      </c>
      <c r="B19">
        <v>15</v>
      </c>
      <c r="C19">
        <f>B19*Inputs!E4*Inputs!$B$10*(1+Inputs!G4)^B19</f>
        <v>5639.2850287111351</v>
      </c>
      <c r="D19">
        <f>B19*Inputs!D4</f>
        <v>132000</v>
      </c>
      <c r="E19">
        <f>B19*Inputs!F4</f>
        <v>13200</v>
      </c>
      <c r="F19">
        <f>MIN(C19,Inputs!$B$13)*Inputs!$B$14+MAX(0,C19-Inputs!$B$13)*Inputs!$B$15</f>
        <v>110404.25397067942</v>
      </c>
      <c r="G19">
        <f t="shared" si="0"/>
        <v>15713.977874345364</v>
      </c>
      <c r="H19">
        <f>Inputs!D4-G19</f>
        <v>-6913.9778743453644</v>
      </c>
    </row>
    <row r="20" spans="1:8">
      <c r="A20" t="s">
        <v>8</v>
      </c>
      <c r="B20">
        <v>16</v>
      </c>
      <c r="C20">
        <f>B20*Inputs!E4*Inputs!$B$10*(1+Inputs!G4)^B20</f>
        <v>6616.761100354398</v>
      </c>
      <c r="D20">
        <f>B20*Inputs!D4</f>
        <v>140800</v>
      </c>
      <c r="E20">
        <f>B20*Inputs!F4</f>
        <v>14080</v>
      </c>
      <c r="F20">
        <f>MIN(C20,Inputs!$B$13)*Inputs!$B$14+MAX(0,C20-Inputs!$B$13)*Inputs!$B$15</f>
        <v>127374.32465893052</v>
      </c>
      <c r="G20">
        <f t="shared" si="0"/>
        <v>17850.070688251115</v>
      </c>
      <c r="H20">
        <f>Inputs!D4-G20</f>
        <v>-9050.0706882511149</v>
      </c>
    </row>
    <row r="21" spans="1:8">
      <c r="A21" t="s">
        <v>8</v>
      </c>
      <c r="B21">
        <v>17</v>
      </c>
      <c r="C21">
        <f>B21*Inputs!E4*Inputs!$B$10*(1+Inputs!G4)^B21</f>
        <v>7733.3395360392033</v>
      </c>
      <c r="D21">
        <f>B21*Inputs!D4</f>
        <v>149600</v>
      </c>
      <c r="E21">
        <f>B21*Inputs!F4</f>
        <v>14960</v>
      </c>
      <c r="F21">
        <f>MIN(C21,Inputs!$B$13)*Inputs!$B$14+MAX(0,C21-Inputs!$B$13)*Inputs!$B$15</f>
        <v>146759.36694512505</v>
      </c>
      <c r="G21">
        <f t="shared" si="0"/>
        <v>20265.042286194526</v>
      </c>
      <c r="H21">
        <f>Inputs!D4-G21</f>
        <v>-11465.042286194526</v>
      </c>
    </row>
    <row r="22" spans="1:8">
      <c r="A22" t="s">
        <v>8</v>
      </c>
      <c r="B22">
        <v>18</v>
      </c>
      <c r="C22">
        <f>B22*Inputs!E4*Inputs!$B$10*(1+Inputs!G4)^B22</f>
        <v>9007.0660478574246</v>
      </c>
      <c r="D22">
        <f>B22*Inputs!D4</f>
        <v>158400</v>
      </c>
      <c r="E22">
        <f>B22*Inputs!F4</f>
        <v>15840</v>
      </c>
      <c r="F22">
        <f>MIN(C22,Inputs!$B$13)*Inputs!$B$14+MAX(0,C22-Inputs!$B$13)*Inputs!$B$15</f>
        <v>168872.67444196917</v>
      </c>
      <c r="G22">
        <f t="shared" si="0"/>
        <v>22993.307496844121</v>
      </c>
      <c r="H22">
        <f>Inputs!D4-G22</f>
        <v>-14193.307496844121</v>
      </c>
    </row>
    <row r="23" spans="1:8">
      <c r="A23" t="s">
        <v>8</v>
      </c>
      <c r="B23">
        <v>19</v>
      </c>
      <c r="C23">
        <f>B23*Inputs!E4*Inputs!$B$10*(1+Inputs!G4)^B23</f>
        <v>10458.204466678902</v>
      </c>
      <c r="D23">
        <f>B23*Inputs!D4</f>
        <v>167200</v>
      </c>
      <c r="E23">
        <f>B23*Inputs!F4</f>
        <v>16720</v>
      </c>
      <c r="F23">
        <f>MIN(C23,Inputs!$B$13)*Inputs!$B$14+MAX(0,C23-Inputs!$B$13)*Inputs!$B$15</f>
        <v>194066.04976873094</v>
      </c>
      <c r="G23">
        <f t="shared" si="0"/>
        <v>26073.375326761772</v>
      </c>
      <c r="H23">
        <f>Inputs!D4-G23</f>
        <v>-17273.375326761772</v>
      </c>
    </row>
    <row r="24" spans="1:8">
      <c r="A24" t="s">
        <v>8</v>
      </c>
      <c r="B24">
        <v>20</v>
      </c>
      <c r="C24">
        <f>B24*Inputs!E4*Inputs!$B$10*(1+Inputs!G4)^B24</f>
        <v>12109.499908786096</v>
      </c>
      <c r="D24">
        <f>B24*Inputs!D4</f>
        <v>176000</v>
      </c>
      <c r="E24">
        <f>B24*Inputs!F4</f>
        <v>17600</v>
      </c>
      <c r="F24">
        <f>MIN(C24,Inputs!$B$13)*Inputs!$B$14+MAX(0,C24-Inputs!$B$13)*Inputs!$B$15</f>
        <v>222734.37341642528</v>
      </c>
      <c r="G24">
        <f t="shared" si="0"/>
        <v>29548.323647694342</v>
      </c>
      <c r="H24">
        <f>Inputs!D4-G24</f>
        <v>-20748.323647694342</v>
      </c>
    </row>
    <row r="37" spans="1:8">
      <c r="A37" t="s">
        <v>9</v>
      </c>
      <c r="B37">
        <v>0</v>
      </c>
      <c r="C37">
        <f>B37*Inputs!E5*Inputs!$B$10*(1+Inputs!G5)^B37</f>
        <v>0</v>
      </c>
      <c r="D37">
        <f>B37*Inputs!D5</f>
        <v>0</v>
      </c>
      <c r="E37">
        <f>B37*Inputs!F5</f>
        <v>0</v>
      </c>
      <c r="F37">
        <f>MIN(C37,Inputs!$B$13)*Inputs!$B$14+MAX(0,C37-Inputs!$B$13)*Inputs!$B$15</f>
        <v>0</v>
      </c>
    </row>
    <row r="38" spans="1:8">
      <c r="A38" t="s">
        <v>9</v>
      </c>
      <c r="B38">
        <v>1</v>
      </c>
      <c r="C38">
        <f>B38*Inputs!E5*Inputs!$B$10*(1+Inputs!G5)^B38</f>
        <v>30.749999999999996</v>
      </c>
      <c r="D38">
        <f>B38*Inputs!D5</f>
        <v>2094</v>
      </c>
      <c r="E38">
        <f>B38*Inputs!F5</f>
        <v>440</v>
      </c>
      <c r="F38">
        <f>MIN(C38,Inputs!$B$13)*Inputs!$B$14+MAX(0,C38-Inputs!$B$13)*Inputs!$B$15</f>
        <v>1067.7083333333333</v>
      </c>
      <c r="G38">
        <f t="shared" ref="G38:G57" si="1">E38+F38-E37-F37</f>
        <v>1507.7083333333333</v>
      </c>
      <c r="H38">
        <f>Inputs!D5-G38</f>
        <v>586.29166666666674</v>
      </c>
    </row>
    <row r="39" spans="1:8">
      <c r="A39" t="s">
        <v>9</v>
      </c>
      <c r="B39">
        <v>2</v>
      </c>
      <c r="C39">
        <f>B39*Inputs!E5*Inputs!$B$10*(1+Inputs!G5)^B39</f>
        <v>63.037499999999994</v>
      </c>
      <c r="D39">
        <f>B39*Inputs!D5</f>
        <v>4188</v>
      </c>
      <c r="E39">
        <f>B39*Inputs!F5</f>
        <v>880</v>
      </c>
      <c r="F39">
        <f>MIN(C39,Inputs!$B$13)*Inputs!$B$14+MAX(0,C39-Inputs!$B$13)*Inputs!$B$15</f>
        <v>2188.802083333333</v>
      </c>
      <c r="G39">
        <f t="shared" si="1"/>
        <v>1561.0937499999998</v>
      </c>
      <c r="H39">
        <f>Inputs!D5-G39</f>
        <v>532.90625000000023</v>
      </c>
    </row>
    <row r="40" spans="1:8">
      <c r="A40" t="s">
        <v>9</v>
      </c>
      <c r="B40">
        <v>3</v>
      </c>
      <c r="C40">
        <f>B40*Inputs!E5*Inputs!$B$10*(1+Inputs!G5)^B40</f>
        <v>96.920156249999991</v>
      </c>
      <c r="D40">
        <f>B40*Inputs!D5</f>
        <v>6282</v>
      </c>
      <c r="E40">
        <f>B40*Inputs!F5</f>
        <v>1320</v>
      </c>
      <c r="F40">
        <f>MIN(C40,Inputs!$B$13)*Inputs!$B$14+MAX(0,C40-Inputs!$B$13)*Inputs!$B$15</f>
        <v>3365.2832031249995</v>
      </c>
      <c r="G40">
        <f t="shared" si="1"/>
        <v>1616.481119791667</v>
      </c>
      <c r="H40">
        <f>Inputs!D5-G40</f>
        <v>477.51888020833303</v>
      </c>
    </row>
    <row r="41" spans="1:8">
      <c r="A41" t="s">
        <v>9</v>
      </c>
      <c r="B41">
        <v>4</v>
      </c>
      <c r="C41">
        <f>B41*Inputs!E5*Inputs!$B$10*(1+Inputs!G5)^B41</f>
        <v>132.45754687499996</v>
      </c>
      <c r="D41">
        <f>B41*Inputs!D5</f>
        <v>8376</v>
      </c>
      <c r="E41">
        <f>B41*Inputs!F5</f>
        <v>1760</v>
      </c>
      <c r="F41">
        <f>MIN(C41,Inputs!$B$13)*Inputs!$B$14+MAX(0,C41-Inputs!$B$13)*Inputs!$B$15</f>
        <v>4599.2203776041652</v>
      </c>
      <c r="G41">
        <f t="shared" si="1"/>
        <v>1673.9371744791656</v>
      </c>
      <c r="H41">
        <f>Inputs!D5-G41</f>
        <v>420.06282552083439</v>
      </c>
    </row>
    <row r="42" spans="1:8">
      <c r="A42" t="s">
        <v>9</v>
      </c>
      <c r="B42">
        <v>5</v>
      </c>
      <c r="C42">
        <f>B42*Inputs!E5*Inputs!$B$10*(1+Inputs!G5)^B42</f>
        <v>169.71123193359369</v>
      </c>
      <c r="D42">
        <f>B42*Inputs!D5</f>
        <v>10470</v>
      </c>
      <c r="E42">
        <f>B42*Inputs!F5</f>
        <v>2200</v>
      </c>
      <c r="F42">
        <f>MIN(C42,Inputs!$B$13)*Inputs!$B$14+MAX(0,C42-Inputs!$B$13)*Inputs!$B$15</f>
        <v>5892.7511088053361</v>
      </c>
      <c r="G42">
        <f t="shared" si="1"/>
        <v>1733.530731201171</v>
      </c>
      <c r="H42">
        <f>Inputs!D5-G42</f>
        <v>360.46926879882903</v>
      </c>
    </row>
    <row r="43" spans="1:8">
      <c r="A43" t="s">
        <v>9</v>
      </c>
      <c r="B43">
        <v>6</v>
      </c>
      <c r="C43">
        <f>B43*Inputs!E5*Inputs!$B$10*(1+Inputs!G5)^B43</f>
        <v>208.74481527832023</v>
      </c>
      <c r="D43">
        <f>B43*Inputs!D5</f>
        <v>12564</v>
      </c>
      <c r="E43">
        <f>B43*Inputs!F5</f>
        <v>2640</v>
      </c>
      <c r="F43">
        <f>MIN(C43,Inputs!$B$13)*Inputs!$B$14+MAX(0,C43-Inputs!$B$13)*Inputs!$B$15</f>
        <v>7248.0838638305631</v>
      </c>
      <c r="G43">
        <f t="shared" si="1"/>
        <v>1795.332755025227</v>
      </c>
      <c r="H43">
        <f>Inputs!D5-G43</f>
        <v>298.66724497477298</v>
      </c>
    </row>
    <row r="44" spans="1:8">
      <c r="A44" t="s">
        <v>9</v>
      </c>
      <c r="B44">
        <v>7</v>
      </c>
      <c r="C44">
        <f>B44*Inputs!E5*Inputs!$B$10*(1+Inputs!G5)^B44</f>
        <v>249.62400827032465</v>
      </c>
      <c r="D44">
        <f>B44*Inputs!D5</f>
        <v>14658</v>
      </c>
      <c r="E44">
        <f>B44*Inputs!F5</f>
        <v>3080</v>
      </c>
      <c r="F44">
        <f>MIN(C44,Inputs!$B$13)*Inputs!$B$14+MAX(0,C44-Inputs!$B$13)*Inputs!$B$15</f>
        <v>8667.50028716405</v>
      </c>
      <c r="G44">
        <f t="shared" si="1"/>
        <v>1859.4164233334868</v>
      </c>
      <c r="H44">
        <f>Inputs!D5-G44</f>
        <v>234.58357666651318</v>
      </c>
    </row>
    <row r="45" spans="1:8">
      <c r="A45" t="s">
        <v>9</v>
      </c>
      <c r="B45">
        <v>8</v>
      </c>
      <c r="C45">
        <f>B45*Inputs!E5*Inputs!$B$10*(1+Inputs!G5)^B45</f>
        <v>292.41669540238024</v>
      </c>
      <c r="D45">
        <f>B45*Inputs!D5</f>
        <v>16752</v>
      </c>
      <c r="E45">
        <f>B45*Inputs!F5</f>
        <v>3520</v>
      </c>
      <c r="F45">
        <f>MIN(C45,Inputs!$B$13)*Inputs!$B$14+MAX(0,C45-Inputs!$B$13)*Inputs!$B$15</f>
        <v>10153.357479249315</v>
      </c>
      <c r="G45">
        <f t="shared" si="1"/>
        <v>1925.8571920852646</v>
      </c>
      <c r="H45">
        <f>Inputs!D5-G45</f>
        <v>168.14280791473539</v>
      </c>
    </row>
    <row r="46" spans="1:8">
      <c r="A46" t="s">
        <v>9</v>
      </c>
      <c r="B46">
        <v>9</v>
      </c>
      <c r="C46">
        <f>B46*Inputs!E5*Inputs!$B$10*(1+Inputs!G5)^B46</f>
        <v>337.19300188586965</v>
      </c>
      <c r="D46">
        <f>B46*Inputs!D5</f>
        <v>18846</v>
      </c>
      <c r="E46">
        <f>B46*Inputs!F5</f>
        <v>3960</v>
      </c>
      <c r="F46">
        <f>MIN(C46,Inputs!$B$13)*Inputs!$B$14+MAX(0,C46-Inputs!$B$13)*Inputs!$B$15</f>
        <v>11708.090343259362</v>
      </c>
      <c r="G46">
        <f t="shared" si="1"/>
        <v>1994.7328640100477</v>
      </c>
      <c r="H46">
        <f>Inputs!D5-G46</f>
        <v>99.267135989952294</v>
      </c>
    </row>
    <row r="47" spans="1:8">
      <c r="A47" t="s">
        <v>9</v>
      </c>
      <c r="B47">
        <v>10</v>
      </c>
      <c r="C47">
        <f>B47*Inputs!E5*Inputs!$B$10*(1+Inputs!G5)^B47</f>
        <v>384.02536325890713</v>
      </c>
      <c r="D47">
        <f>B47*Inputs!D5</f>
        <v>20940</v>
      </c>
      <c r="E47">
        <f>B47*Inputs!F5</f>
        <v>4400</v>
      </c>
      <c r="F47">
        <f>MIN(C47,Inputs!$B$13)*Inputs!$B$14+MAX(0,C47-Inputs!$B$13)*Inputs!$B$15</f>
        <v>13334.214002045386</v>
      </c>
      <c r="G47">
        <f t="shared" si="1"/>
        <v>2066.1236587860258</v>
      </c>
      <c r="H47">
        <f>Inputs!D5-G47</f>
        <v>27.876341213974229</v>
      </c>
    </row>
    <row r="48" spans="1:8">
      <c r="A48" t="s">
        <v>9</v>
      </c>
      <c r="B48">
        <v>11</v>
      </c>
      <c r="C48">
        <f>B48*Inputs!E5*Inputs!$B$10*(1+Inputs!G5)^B48</f>
        <v>432.98859707441784</v>
      </c>
      <c r="D48">
        <f>B48*Inputs!D5</f>
        <v>23034</v>
      </c>
      <c r="E48">
        <f>B48*Inputs!F5</f>
        <v>4840</v>
      </c>
      <c r="F48">
        <f>MIN(C48,Inputs!$B$13)*Inputs!$B$14+MAX(0,C48-Inputs!$B$13)*Inputs!$B$15</f>
        <v>15034.326287306174</v>
      </c>
      <c r="G48">
        <f t="shared" si="1"/>
        <v>2140.1122852607896</v>
      </c>
      <c r="H48">
        <f>Inputs!D5-G48</f>
        <v>-46.112285260789577</v>
      </c>
    </row>
    <row r="49" spans="1:8">
      <c r="A49" t="s">
        <v>9</v>
      </c>
      <c r="B49">
        <v>12</v>
      </c>
      <c r="C49">
        <f>B49*Inputs!E5*Inputs!$B$10*(1+Inputs!G5)^B49</f>
        <v>484.15997672866712</v>
      </c>
      <c r="D49">
        <f>B49*Inputs!D5</f>
        <v>25128</v>
      </c>
      <c r="E49">
        <f>B49*Inputs!F5</f>
        <v>5280</v>
      </c>
      <c r="F49">
        <f>MIN(C49,Inputs!$B$13)*Inputs!$B$14+MAX(0,C49-Inputs!$B$13)*Inputs!$B$15</f>
        <v>16811.11030307872</v>
      </c>
      <c r="G49">
        <f t="shared" si="1"/>
        <v>2216.7840157725459</v>
      </c>
      <c r="H49">
        <f>Inputs!D5-G49</f>
        <v>-122.7840157725459</v>
      </c>
    </row>
    <row r="50" spans="1:8">
      <c r="A50" t="s">
        <v>9</v>
      </c>
      <c r="B50">
        <v>13</v>
      </c>
      <c r="C50">
        <f>B50*Inputs!E5*Inputs!$B$10*(1+Inputs!G5)^B50</f>
        <v>537.61930749245744</v>
      </c>
      <c r="D50">
        <f>B50*Inputs!D5</f>
        <v>27222</v>
      </c>
      <c r="E50">
        <f>B50*Inputs!F5</f>
        <v>5720</v>
      </c>
      <c r="F50">
        <f>MIN(C50,Inputs!$B$13)*Inputs!$B$14+MAX(0,C50-Inputs!$B$13)*Inputs!$B$15</f>
        <v>18667.337065710326</v>
      </c>
      <c r="G50">
        <f t="shared" si="1"/>
        <v>2296.2267626316061</v>
      </c>
      <c r="H50">
        <f>Inputs!D5-G50</f>
        <v>-202.22676263160611</v>
      </c>
    </row>
    <row r="51" spans="1:8">
      <c r="A51" t="s">
        <v>9</v>
      </c>
      <c r="B51">
        <v>14</v>
      </c>
      <c r="C51">
        <f>B51*Inputs!E5*Inputs!$B$10*(1+Inputs!G5)^B51</f>
        <v>593.44900480898184</v>
      </c>
      <c r="D51">
        <f>B51*Inputs!D5</f>
        <v>29316</v>
      </c>
      <c r="E51">
        <f>B51*Inputs!F5</f>
        <v>6160</v>
      </c>
      <c r="F51">
        <f>MIN(C51,Inputs!$B$13)*Inputs!$B$14+MAX(0,C51-Inputs!$B$13)*Inputs!$B$15</f>
        <v>20605.868222534093</v>
      </c>
      <c r="G51">
        <f t="shared" si="1"/>
        <v>2378.5311568237667</v>
      </c>
      <c r="H51">
        <f>Inputs!D5-G51</f>
        <v>-284.53115682376665</v>
      </c>
    </row>
    <row r="52" spans="1:8">
      <c r="A52" t="s">
        <v>9</v>
      </c>
      <c r="B52">
        <v>15</v>
      </c>
      <c r="C52">
        <f>B52*Inputs!E5*Inputs!$B$10*(1+Inputs!G5)^B52</f>
        <v>651.73417492414967</v>
      </c>
      <c r="D52">
        <f>B52*Inputs!D5</f>
        <v>31410</v>
      </c>
      <c r="E52">
        <f>B52*Inputs!F5</f>
        <v>6600</v>
      </c>
      <c r="F52">
        <f>MIN(C52,Inputs!$B$13)*Inputs!$B$14+MAX(0,C52-Inputs!$B$13)*Inputs!$B$15</f>
        <v>22629.658851532975</v>
      </c>
      <c r="G52">
        <f t="shared" si="1"/>
        <v>2463.7906289988823</v>
      </c>
      <c r="H52">
        <f>Inputs!D5-G52</f>
        <v>-369.79062899888231</v>
      </c>
    </row>
    <row r="53" spans="1:8">
      <c r="A53" t="s">
        <v>9</v>
      </c>
      <c r="B53">
        <v>16</v>
      </c>
      <c r="C53">
        <f>B53*Inputs!E5*Inputs!$B$10*(1+Inputs!G5)^B53</f>
        <v>712.5626979170703</v>
      </c>
      <c r="D53">
        <f>B53*Inputs!D5</f>
        <v>33504</v>
      </c>
      <c r="E53">
        <f>B53*Inputs!F5</f>
        <v>7040</v>
      </c>
      <c r="F53">
        <f>MIN(C53,Inputs!$B$13)*Inputs!$B$14+MAX(0,C53-Inputs!$B$13)*Inputs!$B$15</f>
        <v>24741.760344342718</v>
      </c>
      <c r="G53">
        <f t="shared" si="1"/>
        <v>2552.1014928097429</v>
      </c>
      <c r="H53">
        <f>Inputs!D5-G53</f>
        <v>-458.10149280974292</v>
      </c>
    </row>
    <row r="54" spans="1:8">
      <c r="A54" t="s">
        <v>9</v>
      </c>
      <c r="B54">
        <v>17</v>
      </c>
      <c r="C54">
        <f>B54*Inputs!E5*Inputs!$B$10*(1+Inputs!G5)^B54</f>
        <v>776.02531320030937</v>
      </c>
      <c r="D54">
        <f>B54*Inputs!D5</f>
        <v>35598</v>
      </c>
      <c r="E54">
        <f>B54*Inputs!F5</f>
        <v>7480</v>
      </c>
      <c r="F54">
        <f>MIN(C54,Inputs!$B$13)*Inputs!$B$14+MAX(0,C54-Inputs!$B$13)*Inputs!$B$15</f>
        <v>25972.66168750537</v>
      </c>
      <c r="G54">
        <f t="shared" si="1"/>
        <v>1670.9013431626554</v>
      </c>
      <c r="H54">
        <f>Inputs!D5-G54</f>
        <v>423.09865683734461</v>
      </c>
    </row>
    <row r="55" spans="1:8">
      <c r="A55" t="s">
        <v>9</v>
      </c>
      <c r="B55">
        <v>18</v>
      </c>
      <c r="C55">
        <f>B55*Inputs!E5*Inputs!$B$10*(1+Inputs!G5)^B55</f>
        <v>842.2157075615122</v>
      </c>
      <c r="D55">
        <f>B55*Inputs!D5</f>
        <v>37692</v>
      </c>
      <c r="E55">
        <f>B55*Inputs!F5</f>
        <v>7920</v>
      </c>
      <c r="F55">
        <f>MIN(C55,Inputs!$B$13)*Inputs!$B$14+MAX(0,C55-Inputs!$B$13)*Inputs!$B$15</f>
        <v>27121.800478498477</v>
      </c>
      <c r="G55">
        <f t="shared" si="1"/>
        <v>1589.1387909931109</v>
      </c>
      <c r="H55">
        <f>Inputs!D5-G55</f>
        <v>504.86120900688911</v>
      </c>
    </row>
    <row r="56" spans="1:8">
      <c r="A56" t="s">
        <v>9</v>
      </c>
      <c r="B56">
        <v>19</v>
      </c>
      <c r="C56">
        <f>B56*Inputs!E5*Inputs!$B$10*(1+Inputs!G5)^B56</f>
        <v>911.23060582002495</v>
      </c>
      <c r="D56">
        <f>B56*Inputs!D5</f>
        <v>39786</v>
      </c>
      <c r="E56">
        <f>B56*Inputs!F5</f>
        <v>8360</v>
      </c>
      <c r="F56">
        <f>MIN(C56,Inputs!$B$13)*Inputs!$B$14+MAX(0,C56-Inputs!$B$13)*Inputs!$B$15</f>
        <v>28319.975795486545</v>
      </c>
      <c r="G56">
        <f t="shared" si="1"/>
        <v>1638.1753169880722</v>
      </c>
      <c r="H56">
        <f>Inputs!D5-G56</f>
        <v>455.82468301192785</v>
      </c>
    </row>
    <row r="57" spans="1:8">
      <c r="A57" t="s">
        <v>9</v>
      </c>
      <c r="B57">
        <v>20</v>
      </c>
      <c r="C57">
        <f>B57*Inputs!E5*Inputs!$B$10*(1+Inputs!G5)^B57</f>
        <v>983.16986417423732</v>
      </c>
      <c r="D57">
        <f>B57*Inputs!D5</f>
        <v>41880</v>
      </c>
      <c r="E57">
        <f>B57*Inputs!F5</f>
        <v>8800</v>
      </c>
      <c r="F57">
        <f>MIN(C57,Inputs!$B$13)*Inputs!$B$14+MAX(0,C57-Inputs!$B$13)*Inputs!$B$15</f>
        <v>29568.921253024953</v>
      </c>
      <c r="G57">
        <f t="shared" si="1"/>
        <v>1688.9454575384043</v>
      </c>
      <c r="H57">
        <f>Inputs!D5-G57</f>
        <v>405.0545424615957</v>
      </c>
    </row>
    <row r="70" spans="1:8">
      <c r="A70" t="s">
        <v>10</v>
      </c>
      <c r="B70">
        <v>0</v>
      </c>
      <c r="C70">
        <f>B70*Inputs!E6*Inputs!$B$10*(1+Inputs!G6)^B70</f>
        <v>0</v>
      </c>
      <c r="D70">
        <f>B70*Inputs!D6</f>
        <v>0</v>
      </c>
      <c r="E70">
        <f>B70*Inputs!F6</f>
        <v>0</v>
      </c>
      <c r="F70">
        <f>MIN(C70,Inputs!$B$13)*Inputs!$B$14+MAX(0,C70-Inputs!$B$13)*Inputs!$B$15</f>
        <v>0</v>
      </c>
    </row>
    <row r="71" spans="1:8">
      <c r="A71" t="s">
        <v>10</v>
      </c>
      <c r="B71">
        <v>1</v>
      </c>
      <c r="C71">
        <f>B71*Inputs!E6*Inputs!$B$10*(1+Inputs!G6)^B71</f>
        <v>45.5625</v>
      </c>
      <c r="D71">
        <f>B71*Inputs!D6</f>
        <v>2700</v>
      </c>
      <c r="E71">
        <f>B71*Inputs!F6</f>
        <v>880</v>
      </c>
      <c r="F71">
        <f>MIN(C71,Inputs!$B$13)*Inputs!$B$14+MAX(0,C71-Inputs!$B$13)*Inputs!$B$15</f>
        <v>1582.03125</v>
      </c>
      <c r="G71">
        <f t="shared" ref="G71:G100" si="2">E71+F71-E70-F70</f>
        <v>2462.03125</v>
      </c>
      <c r="H71">
        <f>Inputs!D6-G71</f>
        <v>237.96875</v>
      </c>
    </row>
    <row r="72" spans="1:8">
      <c r="A72" t="s">
        <v>10</v>
      </c>
      <c r="B72">
        <v>2</v>
      </c>
      <c r="C72">
        <f>B72*Inputs!E6*Inputs!$B$10*(1+Inputs!G6)^B72</f>
        <v>92.264062499999994</v>
      </c>
      <c r="D72">
        <f>B72*Inputs!D6</f>
        <v>5400</v>
      </c>
      <c r="E72">
        <f>B72*Inputs!F6</f>
        <v>1760</v>
      </c>
      <c r="F72">
        <f>MIN(C72,Inputs!$B$13)*Inputs!$B$14+MAX(0,C72-Inputs!$B$13)*Inputs!$B$15</f>
        <v>3203.6132812499995</v>
      </c>
      <c r="G72">
        <f t="shared" si="2"/>
        <v>2501.58203125</v>
      </c>
      <c r="H72">
        <f>Inputs!D6-G72</f>
        <v>198.41796875</v>
      </c>
    </row>
    <row r="73" spans="1:8">
      <c r="A73" t="s">
        <v>10</v>
      </c>
      <c r="B73">
        <v>3</v>
      </c>
      <c r="C73">
        <f>B73*Inputs!E6*Inputs!$B$10*(1+Inputs!G6)^B73</f>
        <v>140.12604492187498</v>
      </c>
      <c r="D73">
        <f>B73*Inputs!D6</f>
        <v>8100</v>
      </c>
      <c r="E73">
        <f>B73*Inputs!F6</f>
        <v>2640</v>
      </c>
      <c r="F73">
        <f>MIN(C73,Inputs!$B$13)*Inputs!$B$14+MAX(0,C73-Inputs!$B$13)*Inputs!$B$15</f>
        <v>4865.4876708984366</v>
      </c>
      <c r="G73">
        <f t="shared" si="2"/>
        <v>2541.874389648437</v>
      </c>
      <c r="H73">
        <f>Inputs!D6-G73</f>
        <v>158.12561035156295</v>
      </c>
    </row>
    <row r="74" spans="1:8">
      <c r="A74" t="s">
        <v>10</v>
      </c>
      <c r="B74">
        <v>4</v>
      </c>
      <c r="C74">
        <f>B74*Inputs!E6*Inputs!$B$10*(1+Inputs!G6)^B74</f>
        <v>189.17016064453125</v>
      </c>
      <c r="D74">
        <f>B74*Inputs!D6</f>
        <v>10800</v>
      </c>
      <c r="E74">
        <f>B74*Inputs!F6</f>
        <v>3520</v>
      </c>
      <c r="F74">
        <f>MIN(C74,Inputs!$B$13)*Inputs!$B$14+MAX(0,C74-Inputs!$B$13)*Inputs!$B$15</f>
        <v>6568.4083557128906</v>
      </c>
      <c r="G74">
        <f t="shared" si="2"/>
        <v>2582.920684814454</v>
      </c>
      <c r="H74">
        <f>Inputs!D6-G74</f>
        <v>117.07931518554597</v>
      </c>
    </row>
    <row r="75" spans="1:8">
      <c r="A75" t="s">
        <v>10</v>
      </c>
      <c r="B75">
        <v>5</v>
      </c>
      <c r="C75">
        <f>B75*Inputs!E6*Inputs!$B$10*(1+Inputs!G6)^B75</f>
        <v>239.41848456573481</v>
      </c>
      <c r="D75">
        <f>B75*Inputs!D6</f>
        <v>13500</v>
      </c>
      <c r="E75">
        <f>B75*Inputs!F6</f>
        <v>4400</v>
      </c>
      <c r="F75">
        <f>MIN(C75,Inputs!$B$13)*Inputs!$B$14+MAX(0,C75-Inputs!$B$13)*Inputs!$B$15</f>
        <v>8313.1418251991254</v>
      </c>
      <c r="G75">
        <f t="shared" si="2"/>
        <v>2624.7334694862348</v>
      </c>
      <c r="H75">
        <f>Inputs!D6-G75</f>
        <v>75.266530513765247</v>
      </c>
    </row>
    <row r="76" spans="1:8">
      <c r="A76" t="s">
        <v>10</v>
      </c>
      <c r="B76">
        <v>6</v>
      </c>
      <c r="C76">
        <f>B76*Inputs!E6*Inputs!$B$10*(1+Inputs!G6)^B76</f>
        <v>290.89345874736784</v>
      </c>
      <c r="D76">
        <f>B76*Inputs!D6</f>
        <v>16200</v>
      </c>
      <c r="E76">
        <f>B76*Inputs!F6</f>
        <v>5280</v>
      </c>
      <c r="F76">
        <f>MIN(C76,Inputs!$B$13)*Inputs!$B$14+MAX(0,C76-Inputs!$B$13)*Inputs!$B$15</f>
        <v>10100.467317616938</v>
      </c>
      <c r="G76">
        <f t="shared" si="2"/>
        <v>2667.3254924178127</v>
      </c>
      <c r="H76">
        <f>Inputs!D6-G76</f>
        <v>32.674507582187289</v>
      </c>
    </row>
    <row r="77" spans="1:8">
      <c r="A77" t="s">
        <v>10</v>
      </c>
      <c r="B77">
        <v>7</v>
      </c>
      <c r="C77">
        <f>B77*Inputs!E6*Inputs!$B$10*(1+Inputs!G6)^B77</f>
        <v>343.61789814532818</v>
      </c>
      <c r="D77">
        <f>B77*Inputs!D6</f>
        <v>18900</v>
      </c>
      <c r="E77">
        <f>B77*Inputs!F6</f>
        <v>6160</v>
      </c>
      <c r="F77">
        <f>MIN(C77,Inputs!$B$13)*Inputs!$B$14+MAX(0,C77-Inputs!$B$13)*Inputs!$B$15</f>
        <v>11931.177018935006</v>
      </c>
      <c r="G77">
        <f t="shared" si="2"/>
        <v>2710.7097013180683</v>
      </c>
      <c r="H77">
        <f>Inputs!D6-G77</f>
        <v>-10.709701318068255</v>
      </c>
    </row>
    <row r="78" spans="1:8">
      <c r="A78" t="s">
        <v>10</v>
      </c>
      <c r="B78">
        <v>8</v>
      </c>
      <c r="C78">
        <f>B78*Inputs!E6*Inputs!$B$10*(1+Inputs!G6)^B78</f>
        <v>397.61499642530839</v>
      </c>
      <c r="D78">
        <f>B78*Inputs!D6</f>
        <v>21600</v>
      </c>
      <c r="E78">
        <f>B78*Inputs!F6</f>
        <v>7040</v>
      </c>
      <c r="F78">
        <f>MIN(C78,Inputs!$B$13)*Inputs!$B$14+MAX(0,C78-Inputs!$B$13)*Inputs!$B$15</f>
        <v>13806.076264767653</v>
      </c>
      <c r="G78">
        <f t="shared" si="2"/>
        <v>2754.8992458326466</v>
      </c>
      <c r="H78">
        <f>Inputs!D6-G78</f>
        <v>-54.899245832646557</v>
      </c>
    </row>
    <row r="79" spans="1:8">
      <c r="A79" t="s">
        <v>10</v>
      </c>
      <c r="B79">
        <v>9</v>
      </c>
      <c r="C79">
        <f>B79*Inputs!E6*Inputs!$B$10*(1+Inputs!G6)^B79</f>
        <v>452.90833186570285</v>
      </c>
      <c r="D79">
        <f>B79*Inputs!D6</f>
        <v>24300</v>
      </c>
      <c r="E79">
        <f>B79*Inputs!F6</f>
        <v>7920</v>
      </c>
      <c r="F79">
        <f>MIN(C79,Inputs!$B$13)*Inputs!$B$14+MAX(0,C79-Inputs!$B$13)*Inputs!$B$15</f>
        <v>15725.983745336904</v>
      </c>
      <c r="G79">
        <f t="shared" si="2"/>
        <v>2799.9074805692508</v>
      </c>
      <c r="H79">
        <f>Inputs!D6-G79</f>
        <v>-99.907480569250765</v>
      </c>
    </row>
    <row r="80" spans="1:8">
      <c r="A80" t="s">
        <v>10</v>
      </c>
      <c r="B80">
        <v>10</v>
      </c>
      <c r="C80">
        <f>B80*Inputs!E6*Inputs!$B$10*(1+Inputs!G6)^B80</f>
        <v>509.52187334891573</v>
      </c>
      <c r="D80">
        <f>B80*Inputs!D6</f>
        <v>27000</v>
      </c>
      <c r="E80">
        <f>B80*Inputs!F6</f>
        <v>8800</v>
      </c>
      <c r="F80">
        <f>MIN(C80,Inputs!$B$13)*Inputs!$B$14+MAX(0,C80-Inputs!$B$13)*Inputs!$B$15</f>
        <v>17691.731713504018</v>
      </c>
      <c r="G80">
        <f t="shared" si="2"/>
        <v>2845.7479681671139</v>
      </c>
      <c r="H80">
        <f>Inputs!D6-G80</f>
        <v>-145.74796816711387</v>
      </c>
    </row>
    <row r="81" spans="1:8">
      <c r="A81" t="s">
        <v>10</v>
      </c>
      <c r="B81">
        <v>11</v>
      </c>
      <c r="C81">
        <f>B81*Inputs!E6*Inputs!$B$10*(1+Inputs!G6)^B81</f>
        <v>567.47998644235474</v>
      </c>
      <c r="D81">
        <f>B81*Inputs!D6</f>
        <v>29700</v>
      </c>
      <c r="E81">
        <f>B81*Inputs!F6</f>
        <v>9680</v>
      </c>
      <c r="F81">
        <f>MIN(C81,Inputs!$B$13)*Inputs!$B$14+MAX(0,C81-Inputs!$B$13)*Inputs!$B$15</f>
        <v>19704.166195915095</v>
      </c>
      <c r="G81">
        <f t="shared" si="2"/>
        <v>2892.4344824110776</v>
      </c>
      <c r="H81">
        <f>Inputs!D6-G81</f>
        <v>-192.43448241107762</v>
      </c>
    </row>
    <row r="82" spans="1:8">
      <c r="A82" t="s">
        <v>10</v>
      </c>
      <c r="B82">
        <v>12</v>
      </c>
      <c r="C82">
        <f>B82*Inputs!E6*Inputs!$B$10*(1+Inputs!G6)^B82</f>
        <v>626.80743957041921</v>
      </c>
      <c r="D82">
        <f>B82*Inputs!D6</f>
        <v>32400</v>
      </c>
      <c r="E82">
        <f>B82*Inputs!F6</f>
        <v>10560</v>
      </c>
      <c r="F82">
        <f>MIN(C82,Inputs!$B$13)*Inputs!$B$14+MAX(0,C82-Inputs!$B$13)*Inputs!$B$15</f>
        <v>21764.147207306221</v>
      </c>
      <c r="G82">
        <f t="shared" si="2"/>
        <v>2939.9810113911262</v>
      </c>
      <c r="H82">
        <f>Inputs!D6-G82</f>
        <v>-239.98101139112623</v>
      </c>
    </row>
    <row r="83" spans="1:8">
      <c r="A83" t="s">
        <v>10</v>
      </c>
      <c r="B83">
        <v>13</v>
      </c>
      <c r="C83">
        <f>B83*Inputs!E6*Inputs!$B$10*(1+Inputs!G6)^B83</f>
        <v>687.52941027880343</v>
      </c>
      <c r="D83">
        <f>B83*Inputs!D6</f>
        <v>35100</v>
      </c>
      <c r="E83">
        <f>B83*Inputs!F6</f>
        <v>11440</v>
      </c>
      <c r="F83">
        <f>MIN(C83,Inputs!$B$13)*Inputs!$B$14+MAX(0,C83-Inputs!$B$13)*Inputs!$B$15</f>
        <v>23872.548968014009</v>
      </c>
      <c r="G83">
        <f t="shared" si="2"/>
        <v>2988.4017607077876</v>
      </c>
      <c r="H83">
        <f>Inputs!D6-G83</f>
        <v>-288.40176070778762</v>
      </c>
    </row>
    <row r="84" spans="1:8">
      <c r="A84" t="s">
        <v>10</v>
      </c>
      <c r="B84">
        <v>14</v>
      </c>
      <c r="C84">
        <f>B84*Inputs!E6*Inputs!$B$10*(1+Inputs!G6)^B84</f>
        <v>749.67149159246469</v>
      </c>
      <c r="D84">
        <f>B84*Inputs!D6</f>
        <v>37800</v>
      </c>
      <c r="E84">
        <f>B84*Inputs!F6</f>
        <v>12320</v>
      </c>
      <c r="F84">
        <f>MIN(C84,Inputs!$B$13)*Inputs!$B$14+MAX(0,C84-Inputs!$B$13)*Inputs!$B$15</f>
        <v>25515.130062369179</v>
      </c>
      <c r="G84">
        <f t="shared" si="2"/>
        <v>2522.5810943551696</v>
      </c>
      <c r="H84">
        <f>Inputs!D6-G84</f>
        <v>177.41890564483037</v>
      </c>
    </row>
    <row r="85" spans="1:8">
      <c r="A85" t="s">
        <v>10</v>
      </c>
      <c r="B85">
        <v>15</v>
      </c>
      <c r="C85">
        <f>B85*Inputs!E6*Inputs!$B$10*(1+Inputs!G6)^B85</f>
        <v>813.25969846861108</v>
      </c>
      <c r="D85">
        <f>B85*Inputs!D6</f>
        <v>40500</v>
      </c>
      <c r="E85">
        <f>B85*Inputs!F6</f>
        <v>13200</v>
      </c>
      <c r="F85">
        <f>MIN(C85,Inputs!$B$13)*Inputs!$B$14+MAX(0,C85-Inputs!$B$13)*Inputs!$B$15</f>
        <v>26619.091987302276</v>
      </c>
      <c r="G85">
        <f t="shared" si="2"/>
        <v>1983.9619249331008</v>
      </c>
      <c r="H85">
        <f>Inputs!D6-G85</f>
        <v>716.03807506689918</v>
      </c>
    </row>
    <row r="86" spans="1:8">
      <c r="A86" t="s">
        <v>10</v>
      </c>
      <c r="B86">
        <v>16</v>
      </c>
      <c r="C86">
        <f>B86*Inputs!E6*Inputs!$B$10*(1+Inputs!G6)^B86</f>
        <v>878.32047434610013</v>
      </c>
      <c r="D86">
        <f>B86*Inputs!D6</f>
        <v>43200</v>
      </c>
      <c r="E86">
        <f>B86*Inputs!F6</f>
        <v>14080</v>
      </c>
      <c r="F86">
        <f>MIN(C86,Inputs!$B$13)*Inputs!$B$14+MAX(0,C86-Inputs!$B$13)*Inputs!$B$15</f>
        <v>27748.619346286461</v>
      </c>
      <c r="G86">
        <f t="shared" si="2"/>
        <v>2009.5273589841854</v>
      </c>
      <c r="H86">
        <f>Inputs!D6-G86</f>
        <v>690.47264101581459</v>
      </c>
    </row>
    <row r="87" spans="1:8">
      <c r="A87" t="s">
        <v>10</v>
      </c>
      <c r="B87">
        <v>17</v>
      </c>
      <c r="C87">
        <f>B87*Inputs!E6*Inputs!$B$10*(1+Inputs!G6)^B87</f>
        <v>944.88069779264049</v>
      </c>
      <c r="D87">
        <f>B87*Inputs!D6</f>
        <v>45900</v>
      </c>
      <c r="E87">
        <f>B87*Inputs!F6</f>
        <v>14960</v>
      </c>
      <c r="F87">
        <f>MIN(C87,Inputs!$B$13)*Inputs!$B$14+MAX(0,C87-Inputs!$B$13)*Inputs!$B$15</f>
        <v>28904.178781122231</v>
      </c>
      <c r="G87">
        <f t="shared" si="2"/>
        <v>2035.5594348357699</v>
      </c>
      <c r="H87">
        <f>Inputs!D6-G87</f>
        <v>664.44056516423007</v>
      </c>
    </row>
    <row r="88" spans="1:8">
      <c r="A88" t="s">
        <v>10</v>
      </c>
      <c r="B88">
        <v>18</v>
      </c>
      <c r="C88">
        <f>B88*Inputs!E6*Inputs!$B$10*(1+Inputs!G6)^B88</f>
        <v>1012.9676892512279</v>
      </c>
      <c r="D88">
        <f>B88*Inputs!D6</f>
        <v>48600</v>
      </c>
      <c r="E88">
        <f>B88*Inputs!F6</f>
        <v>15840</v>
      </c>
      <c r="F88">
        <f>MIN(C88,Inputs!$B$13)*Inputs!$B$14+MAX(0,C88-Inputs!$B$13)*Inputs!$B$15</f>
        <v>30086.244605056039</v>
      </c>
      <c r="G88">
        <f t="shared" si="2"/>
        <v>2062.0658239338081</v>
      </c>
      <c r="H88">
        <f>Inputs!D6-G88</f>
        <v>637.93417606619187</v>
      </c>
    </row>
    <row r="89" spans="1:8">
      <c r="A89" t="s">
        <v>10</v>
      </c>
      <c r="B89">
        <v>19</v>
      </c>
      <c r="C89">
        <f>B89*Inputs!E6*Inputs!$B$10*(1+Inputs!G6)^B89</f>
        <v>1082.6092178872495</v>
      </c>
      <c r="D89">
        <f>B89*Inputs!D6</f>
        <v>51300</v>
      </c>
      <c r="E89">
        <f>B89*Inputs!F6</f>
        <v>16720</v>
      </c>
      <c r="F89">
        <f>MIN(C89,Inputs!$B$13)*Inputs!$B$14+MAX(0,C89-Inputs!$B$13)*Inputs!$B$15</f>
        <v>31295.298921653637</v>
      </c>
      <c r="G89">
        <f t="shared" si="2"/>
        <v>2089.0543165975978</v>
      </c>
      <c r="H89">
        <f>Inputs!D6-G89</f>
        <v>610.94568340240221</v>
      </c>
    </row>
    <row r="90" spans="1:8">
      <c r="A90" t="s">
        <v>10</v>
      </c>
      <c r="B90">
        <v>20</v>
      </c>
      <c r="C90">
        <f>B90*Inputs!E6*Inputs!$B$10*(1+Inputs!G6)^B90</f>
        <v>1153.8335085377266</v>
      </c>
      <c r="D90">
        <f>B90*Inputs!D6</f>
        <v>54000</v>
      </c>
      <c r="E90">
        <f>B90*Inputs!F6</f>
        <v>17600</v>
      </c>
      <c r="F90">
        <f>MIN(C90,Inputs!$B$13)*Inputs!$B$14+MAX(0,C90-Inputs!$B$13)*Inputs!$B$15</f>
        <v>32531.831745446641</v>
      </c>
      <c r="G90">
        <f t="shared" si="2"/>
        <v>2116.532823793008</v>
      </c>
      <c r="H90">
        <f>Inputs!D6-G90</f>
        <v>583.46717620699201</v>
      </c>
    </row>
    <row r="91" spans="1:8">
      <c r="A91" t="s">
        <v>10</v>
      </c>
      <c r="B91">
        <v>21</v>
      </c>
      <c r="C91">
        <f>B91*Inputs!E6*Inputs!$B$10*(1+Inputs!G6)^B91</f>
        <v>1226.6692487641703</v>
      </c>
      <c r="D91">
        <f>B91*Inputs!D6</f>
        <v>56700</v>
      </c>
      <c r="E91">
        <f>B91*Inputs!F6</f>
        <v>18480</v>
      </c>
      <c r="F91">
        <f>MIN(C91,Inputs!$B$13)*Inputs!$B$14+MAX(0,C91-Inputs!$B$13)*Inputs!$B$15</f>
        <v>33796.341124377956</v>
      </c>
      <c r="G91">
        <f t="shared" si="2"/>
        <v>2144.5093789313141</v>
      </c>
      <c r="H91">
        <f>Inputs!D6-G91</f>
        <v>555.49062106868587</v>
      </c>
    </row>
    <row r="92" spans="1:8">
      <c r="A92" t="s">
        <v>10</v>
      </c>
      <c r="B92">
        <v>22</v>
      </c>
      <c r="C92">
        <f>B92*Inputs!E6*Inputs!$B$10*(1+Inputs!G6)^B92</f>
        <v>1301.1455960105666</v>
      </c>
      <c r="D92">
        <f>B92*Inputs!D6</f>
        <v>59400</v>
      </c>
      <c r="E92">
        <f>B92*Inputs!F6</f>
        <v>19360</v>
      </c>
      <c r="F92">
        <f>MIN(C92,Inputs!$B$13)*Inputs!$B$14+MAX(0,C92-Inputs!$B$13)*Inputs!$B$15</f>
        <v>35089.333264072338</v>
      </c>
      <c r="G92">
        <f t="shared" si="2"/>
        <v>2172.9921396943828</v>
      </c>
      <c r="H92">
        <f>Inputs!D6-G92</f>
        <v>527.00786030561721</v>
      </c>
    </row>
    <row r="93" spans="1:8">
      <c r="A93" t="s">
        <v>10</v>
      </c>
      <c r="B93">
        <v>23</v>
      </c>
      <c r="C93">
        <f>B93*Inputs!E6*Inputs!$B$10*(1+Inputs!G6)^B93</f>
        <v>1377.292184868003</v>
      </c>
      <c r="D93">
        <f>B93*Inputs!D6</f>
        <v>62100</v>
      </c>
      <c r="E93">
        <f>B93*Inputs!F6</f>
        <v>20240</v>
      </c>
      <c r="F93">
        <f>MIN(C93,Inputs!$B$13)*Inputs!$B$14+MAX(0,C93-Inputs!$B$13)*Inputs!$B$15</f>
        <v>36411.322653958385</v>
      </c>
      <c r="G93">
        <f t="shared" si="2"/>
        <v>2201.9893898860464</v>
      </c>
      <c r="H93">
        <f>Inputs!D6-G93</f>
        <v>498.01061011395359</v>
      </c>
    </row>
    <row r="94" spans="1:8">
      <c r="A94" t="s">
        <v>10</v>
      </c>
      <c r="B94">
        <v>24</v>
      </c>
      <c r="C94">
        <f>B94*Inputs!E6*Inputs!$B$10*(1+Inputs!G6)^B94</f>
        <v>1455.1391344474989</v>
      </c>
      <c r="D94">
        <f>B94*Inputs!D6</f>
        <v>64800</v>
      </c>
      <c r="E94">
        <f>B94*Inputs!F6</f>
        <v>21120</v>
      </c>
      <c r="F94">
        <f>MIN(C94,Inputs!$B$13)*Inputs!$B$14+MAX(0,C94-Inputs!$B$13)*Inputs!$B$15</f>
        <v>37762.832195269075</v>
      </c>
      <c r="G94">
        <f t="shared" si="2"/>
        <v>2231.5095413106901</v>
      </c>
      <c r="H94">
        <f>Inputs!D6-G94</f>
        <v>468.49045868930989</v>
      </c>
    </row>
    <row r="95" spans="1:8">
      <c r="A95" t="s">
        <v>10</v>
      </c>
      <c r="B95">
        <v>25</v>
      </c>
      <c r="C95">
        <f>B95*Inputs!E6*Inputs!$B$10*(1+Inputs!G6)^B95</f>
        <v>1534.7170558625965</v>
      </c>
      <c r="D95">
        <f>B95*Inputs!D6</f>
        <v>67500</v>
      </c>
      <c r="E95">
        <f>B95*Inputs!F6</f>
        <v>22000</v>
      </c>
      <c r="F95">
        <f>MIN(C95,Inputs!$B$13)*Inputs!$B$14+MAX(0,C95-Inputs!$B$13)*Inputs!$B$15</f>
        <v>39144.393330947853</v>
      </c>
      <c r="G95">
        <f t="shared" si="2"/>
        <v>2261.5611356787776</v>
      </c>
      <c r="H95">
        <f>Inputs!D6-G95</f>
        <v>438.43886432122235</v>
      </c>
    </row>
    <row r="96" spans="1:8">
      <c r="A96" t="s">
        <v>10</v>
      </c>
      <c r="B96">
        <v>26</v>
      </c>
      <c r="C96">
        <f>B96*Inputs!E6*Inputs!$B$10*(1+Inputs!G6)^B96</f>
        <v>1616.0570598233144</v>
      </c>
      <c r="D96">
        <f>B96*Inputs!D6</f>
        <v>70200</v>
      </c>
      <c r="E96">
        <f>B96*Inputs!F6</f>
        <v>22880</v>
      </c>
      <c r="F96">
        <f>MIN(C96,Inputs!$B$13)*Inputs!$B$14+MAX(0,C96-Inputs!$B$13)*Inputs!$B$15</f>
        <v>40556.546177488097</v>
      </c>
      <c r="G96">
        <f t="shared" si="2"/>
        <v>2292.1528465402444</v>
      </c>
      <c r="H96">
        <f>Inputs!D6-G96</f>
        <v>407.84715345975565</v>
      </c>
    </row>
    <row r="97" spans="1:8">
      <c r="A97" t="s">
        <v>10</v>
      </c>
      <c r="B97">
        <v>27</v>
      </c>
      <c r="C97">
        <f>B97*Inputs!E6*Inputs!$B$10*(1+Inputs!G6)^B97</f>
        <v>1699.1907643430709</v>
      </c>
      <c r="D97">
        <f>B97*Inputs!D6</f>
        <v>72900</v>
      </c>
      <c r="E97">
        <f>B97*Inputs!F6</f>
        <v>23760</v>
      </c>
      <c r="F97">
        <f>MIN(C97,Inputs!$B$13)*Inputs!$B$14+MAX(0,C97-Inputs!$B$13)*Inputs!$B$15</f>
        <v>41999.839658733865</v>
      </c>
      <c r="G97">
        <f t="shared" si="2"/>
        <v>2323.2934812457679</v>
      </c>
      <c r="H97">
        <f>Inputs!D6-G97</f>
        <v>376.70651875423209</v>
      </c>
    </row>
    <row r="98" spans="1:8">
      <c r="A98" t="s">
        <v>10</v>
      </c>
      <c r="B98">
        <v>28</v>
      </c>
      <c r="C98">
        <f>B98*Inputs!E6*Inputs!$B$10*(1+Inputs!G6)^B98</f>
        <v>1784.1503025602246</v>
      </c>
      <c r="D98">
        <f>B98*Inputs!D6</f>
        <v>75600</v>
      </c>
      <c r="E98">
        <f>B98*Inputs!F6</f>
        <v>24640</v>
      </c>
      <c r="F98">
        <f>MIN(C98,Inputs!$B$13)*Inputs!$B$14+MAX(0,C98-Inputs!$B$13)*Inputs!$B$15</f>
        <v>43474.831641670564</v>
      </c>
      <c r="G98">
        <f t="shared" si="2"/>
        <v>2354.9919829366991</v>
      </c>
      <c r="H98">
        <f>Inputs!D6-G98</f>
        <v>345.00801706330094</v>
      </c>
    </row>
    <row r="99" spans="1:8">
      <c r="A99" t="s">
        <v>10</v>
      </c>
      <c r="B99">
        <v>29</v>
      </c>
      <c r="C99">
        <f>B99*Inputs!E6*Inputs!$B$10*(1+Inputs!G6)^B99</f>
        <v>1870.9683306758782</v>
      </c>
      <c r="D99">
        <f>B99*Inputs!D6</f>
        <v>78300</v>
      </c>
      <c r="E99">
        <f>B99*Inputs!F6</f>
        <v>25520</v>
      </c>
      <c r="F99">
        <f>MIN(C99,Inputs!$B$13)*Inputs!$B$14+MAX(0,C99-Inputs!$B$13)*Inputs!$B$15</f>
        <v>44982.089074233998</v>
      </c>
      <c r="G99">
        <f t="shared" si="2"/>
        <v>2387.2574325634341</v>
      </c>
      <c r="H99">
        <f>Inputs!D6-G99</f>
        <v>312.74256743656588</v>
      </c>
    </row>
    <row r="100" spans="1:8">
      <c r="A100" t="s">
        <v>10</v>
      </c>
      <c r="B100">
        <v>30</v>
      </c>
      <c r="C100">
        <f>B100*Inputs!E6*Inputs!$B$10*(1+Inputs!G6)^B100</f>
        <v>1959.6780360096488</v>
      </c>
      <c r="D100">
        <f>B100*Inputs!D6</f>
        <v>81000</v>
      </c>
      <c r="E100">
        <f>B100*Inputs!F6</f>
        <v>26400</v>
      </c>
      <c r="F100">
        <f>MIN(C100,Inputs!$B$13)*Inputs!$B$14+MAX(0,C100-Inputs!$B$13)*Inputs!$B$15</f>
        <v>46522.188125167515</v>
      </c>
      <c r="G100">
        <f t="shared" si="2"/>
        <v>2420.0990509335097</v>
      </c>
      <c r="H100">
        <f>Inputs!D6-G100</f>
        <v>279.90094906649028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activeCell="B5" sqref="B5"/>
    </sheetView>
  </sheetViews>
  <sheetFormatPr baseColWidth="10" defaultColWidth="8.83203125" defaultRowHeight="14"/>
  <cols>
    <col min="1" max="1" width="30" customWidth="1"/>
    <col min="2" max="8" width="22" customWidth="1"/>
  </cols>
  <sheetData>
    <row r="1" spans="1:8" ht="57" customHeight="1">
      <c r="A1" s="1" t="s">
        <v>53</v>
      </c>
      <c r="B1" s="1"/>
      <c r="C1" s="1"/>
      <c r="D1" s="1"/>
      <c r="E1" s="1"/>
      <c r="F1" s="1"/>
      <c r="G1" s="1"/>
      <c r="H1" s="1"/>
    </row>
    <row r="3" spans="1:8" ht="44.25" customHeight="1">
      <c r="A3" s="6" t="s">
        <v>54</v>
      </c>
      <c r="B3" s="6" t="s">
        <v>27</v>
      </c>
      <c r="C3" s="6"/>
      <c r="D3" s="6"/>
      <c r="E3" s="6"/>
      <c r="F3" s="6"/>
      <c r="G3" s="6"/>
      <c r="H3" s="6"/>
    </row>
    <row r="4" spans="1:8">
      <c r="A4" t="s">
        <v>8</v>
      </c>
      <c r="B4">
        <f>Inputs!B4</f>
        <v>10.004049010541378</v>
      </c>
    </row>
    <row r="5" spans="1:8">
      <c r="A5" t="s">
        <v>9</v>
      </c>
      <c r="B5">
        <f>Inputs!B5</f>
        <v>20</v>
      </c>
    </row>
    <row r="6" spans="1:8">
      <c r="A6" t="s">
        <v>10</v>
      </c>
      <c r="B6">
        <f>Inputs!B6</f>
        <v>30</v>
      </c>
    </row>
    <row r="8" spans="1:8">
      <c r="A8" t="s">
        <v>42</v>
      </c>
      <c r="B8">
        <f>'Cost Structure'!B19</f>
        <v>42761.674037985737</v>
      </c>
    </row>
    <row r="9" spans="1:8">
      <c r="A9" t="s">
        <v>32</v>
      </c>
      <c r="B9">
        <f>'Cost Structure'!B8</f>
        <v>60.00404901054138</v>
      </c>
    </row>
    <row r="10" spans="1:8">
      <c r="A10" t="s">
        <v>35</v>
      </c>
      <c r="B10">
        <f>'Cost Structure'!B11</f>
        <v>5279.0627016289136</v>
      </c>
    </row>
    <row r="11" spans="1:8">
      <c r="A11" t="s">
        <v>55</v>
      </c>
      <c r="B11">
        <f>Inputs!B12</f>
        <v>64</v>
      </c>
    </row>
    <row r="12" spans="1:8">
      <c r="A12" t="s">
        <v>56</v>
      </c>
      <c r="B12">
        <f>'Cost Structure'!B20</f>
        <v>6480</v>
      </c>
    </row>
    <row r="13" spans="1:8">
      <c r="A13" t="s">
        <v>57</v>
      </c>
      <c r="B13">
        <f>B11-B9</f>
        <v>3.9959509894586205</v>
      </c>
    </row>
    <row r="14" spans="1:8">
      <c r="A14" t="s">
        <v>58</v>
      </c>
      <c r="B14">
        <f>B12-B10</f>
        <v>1200.9372983710864</v>
      </c>
    </row>
    <row r="15" spans="1:8">
      <c r="A15" t="s">
        <v>59</v>
      </c>
      <c r="B15" t="str">
        <f>IF(AND(B4&lt;=Inputs!C4,B5&lt;=Inputs!C5,B6&lt;=Inputs!C6),"PASS","FAIL")</f>
        <v>PASS</v>
      </c>
    </row>
    <row r="16" spans="1:8">
      <c r="A16" t="s">
        <v>60</v>
      </c>
      <c r="B16" t="str">
        <f>IF(AND(B13&gt;=0,B14&gt;=0,B15="PASS",MIN(B4:B6)&gt;=0),"FEASIBLE","INFEASIBLE")</f>
        <v>FEASIBLE</v>
      </c>
    </row>
    <row r="19" spans="1:1">
      <c r="A19" t="s">
        <v>61</v>
      </c>
    </row>
    <row r="20" spans="1:1">
      <c r="A20" t="s">
        <v>62</v>
      </c>
    </row>
    <row r="21" spans="1:1">
      <c r="A21" t="s">
        <v>63</v>
      </c>
    </row>
    <row r="22" spans="1:1">
      <c r="A22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baseColWidth="10" defaultColWidth="8.83203125" defaultRowHeight="14"/>
  <cols>
    <col min="1" max="1" width="39" customWidth="1"/>
    <col min="2" max="2" width="23" customWidth="1"/>
    <col min="3" max="3" width="65" customWidth="1"/>
    <col min="4" max="4" width="19" customWidth="1"/>
  </cols>
  <sheetData>
    <row r="1" spans="1:8" ht="57" customHeight="1">
      <c r="A1" s="1" t="s">
        <v>65</v>
      </c>
      <c r="B1" s="1"/>
      <c r="C1" s="1"/>
      <c r="D1" s="1"/>
      <c r="E1" s="1"/>
      <c r="F1" s="1"/>
      <c r="G1" s="1"/>
      <c r="H1" s="1"/>
    </row>
    <row r="3" spans="1:8" ht="44.25" customHeight="1">
      <c r="A3" s="6" t="s">
        <v>66</v>
      </c>
      <c r="B3" s="6" t="s">
        <v>67</v>
      </c>
      <c r="C3" s="6" t="s">
        <v>68</v>
      </c>
      <c r="D3" s="6"/>
      <c r="E3" s="6"/>
      <c r="F3" s="6"/>
      <c r="G3" s="6"/>
      <c r="H3" s="6"/>
    </row>
    <row r="4" spans="1:8">
      <c r="A4" t="s">
        <v>69</v>
      </c>
      <c r="B4">
        <f>'Marginal Cost'!C5</f>
        <v>99.000000000000014</v>
      </c>
      <c r="C4" t="s">
        <v>70</v>
      </c>
    </row>
    <row r="5" spans="1:8">
      <c r="A5" t="s">
        <v>71</v>
      </c>
      <c r="B5">
        <f>'Cost Structure'!B11</f>
        <v>5279.0627016289136</v>
      </c>
      <c r="C5" t="s">
        <v>72</v>
      </c>
    </row>
    <row r="6" spans="1:8">
      <c r="A6" t="s">
        <v>73</v>
      </c>
      <c r="B6">
        <f>'Cost Structure'!B20</f>
        <v>6480</v>
      </c>
      <c r="C6" t="s">
        <v>74</v>
      </c>
    </row>
    <row r="7" spans="1:8">
      <c r="A7" t="s">
        <v>75</v>
      </c>
      <c r="B7">
        <f>MAX(0,'Cost Structure'!B11-'Cost Structure'!B20)</f>
        <v>0</v>
      </c>
      <c r="C7" t="s">
        <v>76</v>
      </c>
    </row>
    <row r="8" spans="1:8">
      <c r="A8" t="s">
        <v>77</v>
      </c>
      <c r="B8">
        <f>'Cost Structure'!B24</f>
        <v>0</v>
      </c>
      <c r="C8" t="s">
        <v>78</v>
      </c>
    </row>
    <row r="9" spans="1:8">
      <c r="A9" t="s">
        <v>79</v>
      </c>
      <c r="B9" t="str">
        <f>IF(Optimization!B13&gt;=0,"PASS","FAIL")</f>
        <v>PASS</v>
      </c>
      <c r="C9" t="s">
        <v>80</v>
      </c>
    </row>
    <row r="10" spans="1:8">
      <c r="A10" t="s">
        <v>81</v>
      </c>
      <c r="B10" t="str">
        <f>IF(Optimization!B14&gt;=0,"PASS","FAIL")</f>
        <v>PASS</v>
      </c>
      <c r="C10" t="s">
        <v>80</v>
      </c>
    </row>
    <row r="11" spans="1:8">
      <c r="A11" t="s">
        <v>82</v>
      </c>
      <c r="B11" t="str">
        <f>IF(AND(Inputs!B4=10,Inputs!B5=20,Inputs!B6=30),"MATCH","NOT YET")</f>
        <v>NOT YET</v>
      </c>
      <c r="C11" t="s">
        <v>83</v>
      </c>
    </row>
    <row r="12" spans="1:8">
      <c r="A12" t="s">
        <v>84</v>
      </c>
      <c r="B12">
        <f>'Cost Structure'!B19-42762</f>
        <v>-0.3259620142634958</v>
      </c>
      <c r="C12" t="s">
        <v>85</v>
      </c>
    </row>
    <row r="16" spans="1:8">
      <c r="A16" t="s">
        <v>86</v>
      </c>
      <c r="C16" t="s">
        <v>87</v>
      </c>
    </row>
    <row r="17" spans="1:3">
      <c r="A17" t="s">
        <v>88</v>
      </c>
      <c r="C17" t="s">
        <v>87</v>
      </c>
    </row>
    <row r="18" spans="1:3">
      <c r="A18" t="s">
        <v>89</v>
      </c>
      <c r="C18" t="s">
        <v>90</v>
      </c>
    </row>
    <row r="19" spans="1:3">
      <c r="A19" t="s">
        <v>91</v>
      </c>
      <c r="C19" t="s">
        <v>92</v>
      </c>
    </row>
    <row r="20" spans="1:3">
      <c r="A20" t="s">
        <v>93</v>
      </c>
      <c r="C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Inputs</vt:lpstr>
      <vt:lpstr>Cost Structure</vt:lpstr>
      <vt:lpstr>Marginal Cost</vt:lpstr>
      <vt:lpstr>Optimization</vt:lpstr>
      <vt:lpstr>Audit</vt:lpstr>
      <vt:lpstr>CAR_BEDS</vt:lpstr>
      <vt:lpstr>CAR_CAP</vt:lpstr>
      <vt:lpstr>CAR_DIM</vt:lpstr>
      <vt:lpstr>CAR_FERT</vt:lpstr>
      <vt:lpstr>CAR_HRS</vt:lpstr>
      <vt:lpstr>FIXED_COST</vt:lpstr>
      <vt:lpstr>HOURS_PER_WEEK</vt:lpstr>
      <vt:lpstr>MAX_TEMP_WORKERS</vt:lpstr>
      <vt:lpstr>MES_BEDS</vt:lpstr>
      <vt:lpstr>MES_CAP</vt:lpstr>
      <vt:lpstr>MES_DIM</vt:lpstr>
      <vt:lpstr>MES_FERT</vt:lpstr>
      <vt:lpstr>MES_HRS</vt:lpstr>
      <vt:lpstr>MES_PRICE</vt:lpstr>
      <vt:lpstr>OWNER_ANNUAL_VALUE</vt:lpstr>
      <vt:lpstr>OWNER_FIELD_SHARE</vt:lpstr>
      <vt:lpstr>OWNER_HRS</vt:lpstr>
      <vt:lpstr>OWNER_RATE</vt:lpstr>
      <vt:lpstr>TEMP_ANNUAL_VALUE</vt:lpstr>
      <vt:lpstr>TEMP_HRS_PER_WORKER</vt:lpstr>
      <vt:lpstr>TEMP_RATE</vt:lpstr>
      <vt:lpstr>TOM_BEDS</vt:lpstr>
      <vt:lpstr>TOM_CAP</vt:lpstr>
      <vt:lpstr>TOM_DIM</vt:lpstr>
      <vt:lpstr>TOM_HRS</vt:lpstr>
      <vt:lpstr>TOM_PRICE</vt:lpstr>
      <vt:lpstr>TOTAL_BEDS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Jemya Belizaire</cp:lastModifiedBy>
  <dcterms:modified xsi:type="dcterms:W3CDTF">2026-10-27T06:03:10Z</dcterms:modified>
</cp:coreProperties>
</file>